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" sheetId="1" state="visible" r:id="rId3"/>
    <sheet name="Ke hoach baseline" sheetId="2" state="visible" r:id="rId4"/>
    <sheet name="KPI va Gate" sheetId="3" state="visible" r:id="rId5"/>
    <sheet name="Snapshot" sheetId="4" state="visible" r:id="rId6"/>
    <sheet name="Quy trinh 8 buoc" sheetId="5" state="visible" r:id="rId7"/>
    <sheet name="Metrics" sheetId="6" state="visible" r:id="rId8"/>
    <sheet name="Kiem tra du lieu" sheetId="7" state="visible" r:id="rId9"/>
    <sheet name="Ablation" sheetId="8" state="visible" r:id="rId10"/>
    <sheet name="Bao cao category" sheetId="9" state="visible" r:id="rId11"/>
    <sheet name="Bieu do can ve" sheetId="10" state="visible" r:id="rId12"/>
    <sheet name="Parity" sheetId="11" state="visible" r:id="rId13"/>
    <sheet name="Performance" sheetId="12" state="visible" r:id="rId14"/>
    <sheet name="Bien va timestamp" sheetId="13" state="visible" r:id="rId15"/>
    <sheet name="File dai va batch" sheetId="14" state="visible" r:id="rId16"/>
    <sheet name="Robustness" sheetId="15" state="visible" r:id="rId17"/>
    <sheet name="Test chuc nang" sheetId="16" state="visible" r:id="rId18"/>
    <sheet name="Hop sweep" sheetId="17" state="visible" r:id="rId19"/>
    <sheet name="Tich hop decode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Số minh họa, không phải kết quả thật. Ghi đè bằng kết quả của bạn.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FEC, MSC, OVER, NDS: số bin lỗi mỗi loại.</t>
        </r>
      </text>
    </comment>
    <comment ref="P4" authorId="0">
      <text>
        <r>
          <rPr>
            <sz val="10"/>
            <rFont val="Arial"/>
            <family val="2"/>
          </rPr>
          <t xml:space="preserve">% lỗi thật = (MSC+NDS)/(FEC+MSC+OVER+NDS).</t>
        </r>
      </text>
    </comment>
  </commentList>
</comments>
</file>

<file path=xl/sharedStrings.xml><?xml version="1.0" encoding="utf-8"?>
<sst xmlns="http://schemas.openxmlformats.org/spreadsheetml/2006/main" count="2050" uniqueCount="1353">
  <si>
    <t xml:space="preserve">Bảng tổng hợp đánh giá VAD – YAMNet, bin 0.5s</t>
  </si>
  <si>
    <t xml:space="preserve">Pipeline: file mp3/mp4 → decode (app) → PCM → lib: resample, downmix → cửa sổ 0.96 s / hop 0.08 s → model → gộp overlap → padding, drop, merge → segment. Xử lý theo file, không streaming.</t>
  </si>
  <si>
    <t xml:space="preserve">Cách dùng</t>
  </si>
  <si>
    <t xml:space="preserve">Ô nền vàng</t>
  </si>
  <si>
    <t xml:space="preserve">Ô bạn điền (trạng thái, kết quả đo, số liệu).</t>
  </si>
  <si>
    <t xml:space="preserve">Ô nền xám</t>
  </si>
  <si>
    <t xml:space="preserve">Số liệu ví dụ minh họa — ghi đè bằng kết quả thật.</t>
  </si>
  <si>
    <t xml:space="preserve">Ô chữ đen không nền</t>
  </si>
  <si>
    <t xml:space="preserve">Công thức tự tính, không cần sửa.</t>
  </si>
  <si>
    <t xml:space="preserve">Các sheet</t>
  </si>
  <si>
    <t xml:space="preserve">Ke hoach baseline</t>
  </si>
  <si>
    <t xml:space="preserve">Kế hoạch và theo dõi từng bước xây baseline: phụ trách, hạn, trạng thái, bằng chứng; tiến độ theo nhóm.</t>
  </si>
  <si>
    <t xml:space="preserve">KPI va Gate</t>
  </si>
  <si>
    <t xml:space="preserve">KPI của lib, baseline vs candidate: target, dung sai, CI Δ, kết luận đạt / không đạt.</t>
  </si>
  <si>
    <t xml:space="preserve">Snapshot</t>
  </si>
  <si>
    <t xml:space="preserve">Cấu hình được đóng băng (input lib, tiền xử lý, gộp overlap, hậu xử lý…); tự đánh dấu mục thay đổi.</t>
  </si>
  <si>
    <t xml:space="preserve">Quy trinh 8 buoc</t>
  </si>
  <si>
    <t xml:space="preserve">8 bước đánh giá, đầu ra và công cụ; theo dõi tiến độ.</t>
  </si>
  <si>
    <t xml:space="preserve">Metrics</t>
  </si>
  <si>
    <t xml:space="preserve">Định nghĩa metric tầng A, B, C (hiệu năng lib), S (biên, file, parity), I (tích hợp decode).</t>
  </si>
  <si>
    <t xml:space="preserve">Kiem tra du lieu</t>
  </si>
  <si>
    <t xml:space="preserve">Checklist 18 mục kiểm tra chất lượng dữ liệu (Bước 8).</t>
  </si>
  <si>
    <t xml:space="preserve">Ablation</t>
  </si>
  <si>
    <t xml:space="preserve">Hậu xử lý A0–A4, cách gộp overlap, drop, thứ tự hậu xử lý; DCF tự tính.</t>
  </si>
  <si>
    <t xml:space="preserve">Bao cao category</t>
  </si>
  <si>
    <t xml:space="preserve">Mẫu báo cáo theo category: MR, FAR, loại lỗi, F1, DCF. Baseline chính thức điền bằng output của lib.</t>
  </si>
  <si>
    <t xml:space="preserve">Bieu do can ve</t>
  </si>
  <si>
    <t xml:space="preserve">Danh sách biểu đồ nên có.</t>
  </si>
  <si>
    <t xml:space="preserve">Parity</t>
  </si>
  <si>
    <t xml:space="preserve">So khớp Python reference ↔ lib theo thứ tự pipeline: waveform, log-mel, score, overlap, quyết định, segment.</t>
  </si>
  <si>
    <t xml:space="preserve">Performance</t>
  </si>
  <si>
    <t xml:space="preserve">Thời gian theo stage (ms / phút audio), RTF, CPU, năng lượng, bộ nhớ cố định, kích thước.</t>
  </si>
  <si>
    <t xml:space="preserve">Bien va timestamp</t>
  </si>
  <si>
    <t xml:space="preserve">Độ chính xác biên trên nhãn mịn, chất lượng theo vị trí trong file, căn chỉnh thời gian.</t>
  </si>
  <si>
    <t xml:space="preserve">File dai va batch</t>
  </si>
  <si>
    <t xml:space="preserve">RAM và thời gian theo độ dài file, rò rỉ khi xử lý nhiều file, FA/giờ trên audio không lời.</t>
  </si>
  <si>
    <t xml:space="preserve">Robustness</t>
  </si>
  <si>
    <t xml:space="preserve">Chất lượng theo gain, nhiễu, vang, sample rate, số kênh, codec mp3/AAC.</t>
  </si>
  <si>
    <t xml:space="preserve">Test chuc nang</t>
  </si>
  <si>
    <t xml:space="preserve">Test chức năng của lib: input biên, định dạng input, hợp đồng output, API, tài nguyên, build.</t>
  </si>
  <si>
    <t xml:space="preserve">Hop sweep</t>
  </si>
  <si>
    <t xml:space="preserve">Đường cong chất lượng – chi phí theo hop (tùy chọn).</t>
  </si>
  <si>
    <t xml:space="preserve">Tich hop decode</t>
  </si>
  <si>
    <t xml:space="preserve">Decode mp3/mp4 phía app (ngoài lib): lệch timestamp, định dạng, file lỗi. Không tính vào gate của lib.</t>
  </si>
  <si>
    <t xml:space="preserve">Tiến độ</t>
  </si>
  <si>
    <t xml:space="preserve">Tiến độ quy trình</t>
  </si>
  <si>
    <t xml:space="preserve">Checklist dữ liệu đã xong</t>
  </si>
  <si>
    <t xml:space="preserve">Số mục dữ liệu 'Không đạt'</t>
  </si>
  <si>
    <t xml:space="preserve">Tiến độ kế hoạch baseline</t>
  </si>
  <si>
    <t xml:space="preserve">Số bước đang trễ hạn</t>
  </si>
  <si>
    <t xml:space="preserve">KPI: Đạt / Không đạt / Chưa đo</t>
  </si>
  <si>
    <t xml:space="preserve">Kết luận gate của lib</t>
  </si>
  <si>
    <t xml:space="preserve">Parity lib baseline: không đạt / chưa đo</t>
  </si>
  <si>
    <t xml:space="preserve">Test chức năng baseline: không đạt / chưa chạy</t>
  </si>
  <si>
    <t xml:space="preserve">Tích hợp decode: không đạt / chưa chạy</t>
  </si>
  <si>
    <t xml:space="preserve">Lưu ý chính</t>
  </si>
  <si>
    <t xml:space="preserve">1</t>
  </si>
  <si>
    <t xml:space="preserve">AUC gộp trên dữ liệu thiết kế dễ bị thổi phồng — kiểm tra rò rỉ, file suy biến, alignment trước.</t>
  </si>
  <si>
    <t xml:space="preserve">2</t>
  </si>
  <si>
    <t xml:space="preserve">Chọn ngưỡng trên dev qua toàn pipeline, không chọn trên test.</t>
  </si>
  <si>
    <t xml:space="preserve">3</t>
  </si>
  <si>
    <t xml:space="preserve">CI bootstrap theo file / bản ghi gốc, không theo bin.</t>
  </si>
  <si>
    <t xml:space="preserve">4</t>
  </si>
  <si>
    <t xml:space="preserve">Ngưỡng cảnh báo là ngưỡng thực hành, cần hiệu chỉnh theo dữ liệu của bạn.</t>
  </si>
  <si>
    <t xml:space="preserve">5</t>
  </si>
  <si>
    <t xml:space="preserve">Baseline chính thức là số của lib.so, không phải của Python – Parity phải Đạt trước, bắt đầu từ waveform sau resample/downmix.</t>
  </si>
  <si>
    <t xml:space="preserve">6</t>
  </si>
  <si>
    <t xml:space="preserve">Đo hiệu năng trên thiết bị đích, môi trường cố định; quy về mỗi phút audio; báo mean và p95.</t>
  </si>
  <si>
    <t xml:space="preserve">7</t>
  </si>
  <si>
    <t xml:space="preserve">Mọi tối ưu của lib phải qua Parity và KPI va Gate trước khi merge.</t>
  </si>
  <si>
    <t xml:space="preserve">8</t>
  </si>
  <si>
    <t xml:space="preserve">Decode nằm ngoài lib: kiểm tra ở Tich hop decode. Không tính vào gate của lib nhưng lệch timestamp ở đây làm lệch mọi segment.</t>
  </si>
  <si>
    <t xml:space="preserve">Kế hoạch xây baseline – chất lượng + hiệu năng lib.so</t>
  </si>
  <si>
    <t xml:space="preserve">Theo dõi từng bước. Vàng = bạn điền; trạng thái nhóm Q tự lấy từ sheet 'Quy trinh 8 buoc'. Cột 'Tiến độ hạn' tự tính.</t>
  </si>
  <si>
    <t xml:space="preserve">Mã</t>
  </si>
  <si>
    <t xml:space="preserve">Nhóm</t>
  </si>
  <si>
    <t xml:space="preserve">Bước</t>
  </si>
  <si>
    <t xml:space="preserve">Việc cần làm</t>
  </si>
  <si>
    <t xml:space="preserve">Đầu ra</t>
  </si>
  <si>
    <t xml:space="preserve">Tiêu chí hoàn thành</t>
  </si>
  <si>
    <t xml:space="preserve">Sheet chi tiết</t>
  </si>
  <si>
    <t xml:space="preserve">Phụ thuộc</t>
  </si>
  <si>
    <t xml:space="preserve">Phụ trách</t>
  </si>
  <si>
    <t xml:space="preserve">Bắt đầu</t>
  </si>
  <si>
    <t xml:space="preserve">Hạn</t>
  </si>
  <si>
    <t xml:space="preserve">Hoàn thành</t>
  </si>
  <si>
    <t xml:space="preserve">Trạng thái</t>
  </si>
  <si>
    <t xml:space="preserve">Tiến độ hạn</t>
  </si>
  <si>
    <t xml:space="preserve">Bằng chứng (link / file)</t>
  </si>
  <si>
    <t xml:space="preserve">Ghi chú</t>
  </si>
  <si>
    <t xml:space="preserve">0.1</t>
  </si>
  <si>
    <t xml:space="preserve">0. Chuẩn bị</t>
  </si>
  <si>
    <t xml:space="preserve">Chốt target &amp; KPI</t>
  </si>
  <si>
    <t xml:space="preserve">Chọn thiết bị/SoC đích, độ dài file điển hình và lớn nhất; đặt target cho từng KPI</t>
  </si>
  <si>
    <t xml:space="preserve">Cột Target trong KPI va Gate</t>
  </si>
  <si>
    <t xml:space="preserve">Mọi KPI có target hoặc ghi rõ "không đặt target"</t>
  </si>
  <si>
    <t xml:space="preserve">–</t>
  </si>
  <si>
    <t xml:space="preserve">(tên)</t>
  </si>
  <si>
    <t xml:space="preserve">Chưa làm</t>
  </si>
  <si>
    <t xml:space="preserve">0.2</t>
  </si>
  <si>
    <t xml:space="preserve">Freeze baseline</t>
  </si>
  <si>
    <t xml:space="preserve">Ghi hash model, commit lib, resampler, downmix, cách gộp overlap, tham số và thứ tự hậu xử lý, version dữ liệu và script; gắn git tag</t>
  </si>
  <si>
    <t xml:space="preserve">Snapshot (cột Baseline)</t>
  </si>
  <si>
    <t xml:space="preserve">Mọi mục Snapshot có giá trị; có git tag</t>
  </si>
  <si>
    <t xml:space="preserve">0.3</t>
  </si>
  <si>
    <t xml:space="preserve">Hợp đồng input app ↔ lib</t>
  </si>
  <si>
    <t xml:space="preserve">Chốt sample rate, số kênh, kiểu mẫu và độ dài tối đa lib nhận; ai chịu trách nhiệm downmix</t>
  </si>
  <si>
    <t xml:space="preserve">Mục Input lib trong Snapshot</t>
  </si>
  <si>
    <t xml:space="preserve">App và lib cùng xác nhận</t>
  </si>
  <si>
    <t xml:space="preserve">Q1</t>
  </si>
  <si>
    <t xml:space="preserve">Q. Chất lượng offline</t>
  </si>
  <si>
    <t xml:space="preserve">0 nhóm vắt qua dev/test (mục 2a)</t>
  </si>
  <si>
    <t xml:space="preserve">Q2</t>
  </si>
  <si>
    <t xml:space="preserve">Bảng bin có đủ cột is_boundary, is_ambiguous, metadata</t>
  </si>
  <si>
    <t xml:space="preserve">Q3</t>
  </si>
  <si>
    <t xml:space="preserve">Các mục 5a–5e, 2a–2c Đạt</t>
  </si>
  <si>
    <t xml:space="preserve">Q4</t>
  </si>
  <si>
    <t xml:space="preserve">AUC, PR-AUC, DET có CI; báo trên 3 tập bin</t>
  </si>
  <si>
    <t xml:space="preserve">Q5</t>
  </si>
  <si>
    <t xml:space="preserve">Ngưỡng cố định + CI, ghi vào Snapshot</t>
  </si>
  <si>
    <t xml:space="preserve">Q6</t>
  </si>
  <si>
    <t xml:space="preserve">Bao cao category điền đủ, có CI</t>
  </si>
  <si>
    <t xml:space="preserve">Q7</t>
  </si>
  <si>
    <t xml:space="preserve">Bảng A0–A4 + heatmap F1(pad, merge)</t>
  </si>
  <si>
    <t xml:space="preserve">Q8</t>
  </si>
  <si>
    <t xml:space="preserve">Có CI, per-category, top-K lỗi đã nghe</t>
  </si>
  <si>
    <t xml:space="preserve">Q6, Q7</t>
  </si>
  <si>
    <t xml:space="preserve">1.1</t>
  </si>
  <si>
    <t xml:space="preserve">1. Chất lượng trên lib</t>
  </si>
  <si>
    <t xml:space="preserve">Parity Python ↔ lib</t>
  </si>
  <si>
    <t xml:space="preserve">Đưa cùng PCM vào Python reference và lib; so từ waveform sau resample/downmix đến F1</t>
  </si>
  <si>
    <t xml:space="preserve">Parity mục B + danh sách file lệch</t>
  </si>
  <si>
    <t xml:space="preserve">Mọi mục PA Đạt với lib baseline</t>
  </si>
  <si>
    <t xml:space="preserve">1.2</t>
  </si>
  <si>
    <t xml:space="preserve">Tầng B trên output lib</t>
  </si>
  <si>
    <t xml:space="preserve">Chạy lại Bước 4–6 bằng output của lib; cập nhật Bao cao category – đây là số baseline chính thức</t>
  </si>
  <si>
    <t xml:space="preserve">Bao cao category (nguồn = lib)</t>
  </si>
  <si>
    <t xml:space="preserve">K01–K07 trong KPI va Gate lấy từ output lib</t>
  </si>
  <si>
    <t xml:space="preserve">1.1, Q5</t>
  </si>
  <si>
    <t xml:space="preserve">1.3</t>
  </si>
  <si>
    <t xml:space="preserve">Ablation gộp overlap, drop, thứ tự</t>
  </si>
  <si>
    <t xml:space="preserve">So các cách gộp score, quét drop, so thứ tự hậu xử lý; chọn cấu hình trên dev</t>
  </si>
  <si>
    <t xml:space="preserve">Ablation mục B, C, D</t>
  </si>
  <si>
    <t xml:space="preserve">Đã chọn và ghi vào Snapshot</t>
  </si>
  <si>
    <t xml:space="preserve">2.1</t>
  </si>
  <si>
    <t xml:space="preserve">2. Hiệu năng</t>
  </si>
  <si>
    <t xml:space="preserve">Benchmark harness</t>
  </si>
  <si>
    <t xml:space="preserve">Tool C/C++ đọc PCM đã decode, gọi API lib, đo thời gian theo stage, xuất CSV</t>
  </si>
  <si>
    <t xml:space="preserve">Tool + script chạy lặp</t>
  </si>
  <si>
    <t xml:space="preserve">Hai lần chạy liên tiếp lệch &lt; 5%</t>
  </si>
  <si>
    <t xml:space="preserve">2.2</t>
  </si>
  <si>
    <t xml:space="preserve">Chuẩn hóa môi trường đo</t>
  </si>
  <si>
    <t xml:space="preserve">Cố định governor/tần số, core, số thread; định dạng PCM và tập file đo; warm-up; kiểm soát nhiệt</t>
  </si>
  <si>
    <t xml:space="preserve">Performance mục A</t>
  </si>
  <si>
    <t xml:space="preserve">Điền đủ mục A cho baseline</t>
  </si>
  <si>
    <t xml:space="preserve">2.3</t>
  </si>
  <si>
    <t xml:space="preserve">Đo thời gian theo stage</t>
  </si>
  <si>
    <t xml:space="preserve">Downmix, resample, log-mel, inference, gộp overlap, hậu xử lý – ms cho mỗi phút audio; RTF; init</t>
  </si>
  <si>
    <t xml:space="preserve">Performance mục B, C</t>
  </si>
  <si>
    <t xml:space="preserve">Có số liệu đủ các stage và tổng</t>
  </si>
  <si>
    <t xml:space="preserve">2.4</t>
  </si>
  <si>
    <t xml:space="preserve">Đo CPU &amp; năng lượng</t>
  </si>
  <si>
    <t xml:space="preserve">Thời gian CPU / phút audio; công suất khi chạy và idle; rút sạc khi đo</t>
  </si>
  <si>
    <t xml:space="preserve">Performance mục D</t>
  </si>
  <si>
    <t xml:space="preserve">Hệ số biến thiên giữa các lần đo &lt; 10%</t>
  </si>
  <si>
    <t xml:space="preserve">2.5</t>
  </si>
  <si>
    <t xml:space="preserve">Đo bộ nhớ cố định &amp; kích thước</t>
  </si>
  <si>
    <t xml:space="preserve">RSS do init, arena, kích thước model và .so</t>
  </si>
  <si>
    <t xml:space="preserve">Performance mục E</t>
  </si>
  <si>
    <t xml:space="preserve">Có số liệu đủ mục E</t>
  </si>
  <si>
    <t xml:space="preserve">3.1</t>
  </si>
  <si>
    <t xml:space="preserve">3. Biên, file dài &amp; batch</t>
  </si>
  <si>
    <t xml:space="preserve">Nhãn mịn &amp; độ chính xác biên</t>
  </si>
  <si>
    <t xml:space="preserve">Gán nhãn 10–20 ms cho tập con ~30–60 phút, đủ category; đo Δonset/Δoffset</t>
  </si>
  <si>
    <t xml:space="preserve">Tập nhãn mịn + Bien va timestamp mục A</t>
  </si>
  <si>
    <t xml:space="preserve">Có median và p95 cho Δonset, Δoffset</t>
  </si>
  <si>
    <t xml:space="preserve">3.2</t>
  </si>
  <si>
    <t xml:space="preserve">Vùng biên file &amp; cửa sổ cuối</t>
  </si>
  <si>
    <t xml:space="preserve">Đo recall/FAR ở đầu, giữa, cuối file và phần dư &lt; 0.96 s</t>
  </si>
  <si>
    <t xml:space="preserve">Bien va timestamp mục B</t>
  </si>
  <si>
    <t xml:space="preserve">Biết lib có mất speech ở cuối file không</t>
  </si>
  <si>
    <t xml:space="preserve">3.3</t>
  </si>
  <si>
    <t xml:space="preserve">Căn chỉnh thời gian của lib</t>
  </si>
  <si>
    <t xml:space="preserve">Quét shift ±1 s trên output lib; kiểm số cửa sổ và segment trong biên file</t>
  </si>
  <si>
    <t xml:space="preserve">Bien va timestamp mục C</t>
  </si>
  <si>
    <t xml:space="preserve">Lệch đỉnh F1 = 0; 0 segment vượt biên</t>
  </si>
  <si>
    <t xml:space="preserve">3.4</t>
  </si>
  <si>
    <t xml:space="preserve">Theo độ dài file</t>
  </si>
  <si>
    <t xml:space="preserve">Chạy file 1, 10, 60, 180, 480 phút; ghi thời gian và peak RSS</t>
  </si>
  <si>
    <t xml:space="preserve">File dai va batch mục A</t>
  </si>
  <si>
    <t xml:space="preserve">Biết độ dài tối đa chạy được và độ dốc RAM</t>
  </si>
  <si>
    <t xml:space="preserve">3.5</t>
  </si>
  <si>
    <t xml:space="preserve">Batch nhiều file liên tiếp</t>
  </si>
  <si>
    <t xml:space="preserve">Chạy 1000 file trên cùng instance; ghi RSS theo mốc</t>
  </si>
  <si>
    <t xml:space="preserve">File dai va batch mục B</t>
  </si>
  <si>
    <t xml:space="preserve">RSS tăng mỗi 100 file trong ngưỡng</t>
  </si>
  <si>
    <t xml:space="preserve">3.6</t>
  </si>
  <si>
    <t xml:space="preserve">FA/giờ trên audio không lời</t>
  </si>
  <si>
    <t xml:space="preserve">Chạy trên các loại non-speech dài; đếm segment FA</t>
  </si>
  <si>
    <t xml:space="preserve">File dai va batch mục D</t>
  </si>
  <si>
    <t xml:space="preserve">Đủ các loại audio, tổng thời lượng đạt mức đã chốt</t>
  </si>
  <si>
    <t xml:space="preserve">4.1</t>
  </si>
  <si>
    <t xml:space="preserve">4. Độ bền &amp; chức năng</t>
  </si>
  <si>
    <t xml:space="preserve">Robustness sweep</t>
  </si>
  <si>
    <t xml:space="preserve">Gain, clipping, DC, SNR, vang, sample rate, số kênh, codec mp3/AAC từ tập test</t>
  </si>
  <si>
    <t xml:space="preserve">Có số liệu mọi dòng; xác định điều kiện tệ nhất</t>
  </si>
  <si>
    <t xml:space="preserve">4.2</t>
  </si>
  <si>
    <t xml:space="preserve">Test chức năng</t>
  </si>
  <si>
    <t xml:space="preserve">Input biên, định dạng input, hợp đồng output, API, đa luồng, tài nguyên, build</t>
  </si>
  <si>
    <t xml:space="preserve">0 test Không đạt, hoặc mỗi lỗi có ticket</t>
  </si>
  <si>
    <t xml:space="preserve">5.1</t>
  </si>
  <si>
    <t xml:space="preserve">5. So sánh &amp; chốt</t>
  </si>
  <si>
    <t xml:space="preserve">Acceptance criteria</t>
  </si>
  <si>
    <t xml:space="preserve">Điền dung sai cho từng KPI; thống nhất với team</t>
  </si>
  <si>
    <t xml:space="preserve">KPI va Gate cột Dung sai</t>
  </si>
  <si>
    <t xml:space="preserve">Mọi KPI có dung sai</t>
  </si>
  <si>
    <t xml:space="preserve">5.2</t>
  </si>
  <si>
    <t xml:space="preserve">Paired bootstrap</t>
  </si>
  <si>
    <t xml:space="preserve">Script bootstrap theo file trên chênh lệch candidate − baseline</t>
  </si>
  <si>
    <t xml:space="preserve">Script + cột CI Δ</t>
  </si>
  <si>
    <t xml:space="preserve">Chạy thử được trên 1 candidate (vd int8)</t>
  </si>
  <si>
    <t xml:space="preserve">5.3</t>
  </si>
  <si>
    <t xml:space="preserve">Chất lượng – chi phí theo hop (tùy chọn)</t>
  </si>
  <si>
    <t xml:space="preserve">Quét hop 0.08–0.96 s; tune lại hậu xử lý cho mỗi hop</t>
  </si>
  <si>
    <t xml:space="preserve">Có ít nhất 3 mức hop</t>
  </si>
  <si>
    <t xml:space="preserve">2.3, 1.2</t>
  </si>
  <si>
    <t xml:space="preserve">5.4</t>
  </si>
  <si>
    <t xml:space="preserve">Chốt baseline &amp; báo cáo</t>
  </si>
  <si>
    <t xml:space="preserve">Review toàn bộ số liệu; ký chốt; lưu báo cáo cùng Snapshot</t>
  </si>
  <si>
    <t xml:space="preserve">Báo cáo baseline</t>
  </si>
  <si>
    <t xml:space="preserve">Mọi bước nhóm 0–5 Đạt hoặc Không áp dụng</t>
  </si>
  <si>
    <t xml:space="preserve">Tong quan</t>
  </si>
  <si>
    <t xml:space="preserve">Tất cả</t>
  </si>
  <si>
    <t xml:space="preserve">6.1</t>
  </si>
  <si>
    <t xml:space="preserve">6. Tích hợp decode (ngoài lib)</t>
  </si>
  <si>
    <t xml:space="preserve">Độ lệch timestamp do codec</t>
  </si>
  <si>
    <t xml:space="preserve">Nén từ wav gốc, decode bằng decoder của app, đo lệch đầu và chênh thời lượng</t>
  </si>
  <si>
    <t xml:space="preserve">Tich hop decode mục B</t>
  </si>
  <si>
    <t xml:space="preserve">Mọi định dạng Đạt, hoặc đã bù lệch</t>
  </si>
  <si>
    <t xml:space="preserve">6.2</t>
  </si>
  <si>
    <t xml:space="preserve">Định dạng &amp; file lỗi</t>
  </si>
  <si>
    <t xml:space="preserve">Checklist kênh, sample rate, VBR, nhiều track, file hỏng, file rất dài</t>
  </si>
  <si>
    <t xml:space="preserve">Tich hop decode mục C</t>
  </si>
  <si>
    <t xml:space="preserve">0 mục Không đạt</t>
  </si>
  <si>
    <t xml:space="preserve">6.3</t>
  </si>
  <si>
    <t xml:space="preserve">Chi phí decode (tùy chọn)</t>
  </si>
  <si>
    <t xml:space="preserve">Thời gian và RAM decode so với thời gian lib</t>
  </si>
  <si>
    <t xml:space="preserve">Tich hop decode mục D</t>
  </si>
  <si>
    <t xml:space="preserve">Có số liệu</t>
  </si>
  <si>
    <t xml:space="preserve">Tiến độ theo nhóm</t>
  </si>
  <si>
    <t xml:space="preserve">Số bước</t>
  </si>
  <si>
    <t xml:space="preserve">Đạt</t>
  </si>
  <si>
    <t xml:space="preserve">Đang làm</t>
  </si>
  <si>
    <t xml:space="preserve">Không đạt</t>
  </si>
  <si>
    <t xml:space="preserve">Không áp dụng</t>
  </si>
  <si>
    <t xml:space="preserve">Tổng</t>
  </si>
  <si>
    <t xml:space="preserve">KPI và regression gate của lib – baseline vs candidate</t>
  </si>
  <si>
    <t xml:space="preserve">Baseline/candidate tự lấy từ sheet nguồn (chữ đen) hoặc bạn điền (vàng). Hướng tốt: Cao = càng cao càng tốt. Dung sai = mức xấu đi tối đa so với baseline, cùng đơn vị. Decode không tính vào gate.</t>
  </si>
  <si>
    <t xml:space="preserve">KPI</t>
  </si>
  <si>
    <t xml:space="preserve">Đơn vị</t>
  </si>
  <si>
    <t xml:space="preserve">Hướng tốt</t>
  </si>
  <si>
    <t xml:space="preserve">Baseline</t>
  </si>
  <si>
    <t xml:space="preserve">Candidate</t>
  </si>
  <si>
    <t xml:space="preserve">Δ</t>
  </si>
  <si>
    <t xml:space="preserve">Δ %</t>
  </si>
  <si>
    <t xml:space="preserve">Target</t>
  </si>
  <si>
    <t xml:space="preserve">Dung sai</t>
  </si>
  <si>
    <t xml:space="preserve">Đạt target?</t>
  </si>
  <si>
    <t xml:space="preserve">Không thụt lùi?</t>
  </si>
  <si>
    <t xml:space="preserve">Kết luận</t>
  </si>
  <si>
    <t xml:space="preserve">CI Δ thấp</t>
  </si>
  <si>
    <t xml:space="preserve">CI Δ cao</t>
  </si>
  <si>
    <t xml:space="preserve">Δ có ý nghĩa?</t>
  </si>
  <si>
    <t xml:space="preserve">Nguồn</t>
  </si>
  <si>
    <t xml:space="preserve">K01</t>
  </si>
  <si>
    <t xml:space="preserve">Chất lượng</t>
  </si>
  <si>
    <t xml:space="preserve">F1 strict (macro, output lib)</t>
  </si>
  <si>
    <t xml:space="preserve">Cao</t>
  </si>
  <si>
    <t xml:space="preserve">K02</t>
  </si>
  <si>
    <t xml:space="preserve">F1 ±1 bin (macro)</t>
  </si>
  <si>
    <t xml:space="preserve">K03</t>
  </si>
  <si>
    <t xml:space="preserve">DCF (macro)</t>
  </si>
  <si>
    <t xml:space="preserve">Thấp</t>
  </si>
  <si>
    <t xml:space="preserve">K04</t>
  </si>
  <si>
    <t xml:space="preserve">Miss rate (macro)</t>
  </si>
  <si>
    <t xml:space="preserve">%</t>
  </si>
  <si>
    <t xml:space="preserve">K05</t>
  </si>
  <si>
    <t xml:space="preserve">False alarm rate (macro)</t>
  </si>
  <si>
    <t xml:space="preserve">K06</t>
  </si>
  <si>
    <t xml:space="preserve">ROC-AUC tầng A (output lib)</t>
  </si>
  <si>
    <t xml:space="preserve">Bước 4</t>
  </si>
  <si>
    <t xml:space="preserve">K07</t>
  </si>
  <si>
    <t xml:space="preserve">Event-F1 (collar 0.5 s) – output cuối là segment</t>
  </si>
  <si>
    <t xml:space="preserve">Bước 6</t>
  </si>
  <si>
    <t xml:space="preserve">K08</t>
  </si>
  <si>
    <t xml:space="preserve">Biên &amp; file</t>
  </si>
  <si>
    <t xml:space="preserve">|Δonset| p95 trên nhãn mịn</t>
  </si>
  <si>
    <t xml:space="preserve">ms</t>
  </si>
  <si>
    <t xml:space="preserve">K09</t>
  </si>
  <si>
    <t xml:space="preserve">|Δoffset| p95 trên nhãn mịn</t>
  </si>
  <si>
    <t xml:space="preserve">K10</t>
  </si>
  <si>
    <t xml:space="preserve">Recall 1 s cuối file</t>
  </si>
  <si>
    <t xml:space="preserve">K11</t>
  </si>
  <si>
    <t xml:space="preserve">Lệch đỉnh F1 khi quét shift</t>
  </si>
  <si>
    <t xml:space="preserve">K12</t>
  </si>
  <si>
    <t xml:space="preserve">lần/giờ</t>
  </si>
  <si>
    <t xml:space="preserve">K13</t>
  </si>
  <si>
    <t xml:space="preserve">Độ bền</t>
  </si>
  <si>
    <t xml:space="preserve">F1 thấp nhất trong robustness sweep</t>
  </si>
  <si>
    <t xml:space="preserve">K14</t>
  </si>
  <si>
    <t xml:space="preserve">Parity: % bin khác Python sau hậu xử lý</t>
  </si>
  <si>
    <t xml:space="preserve">K15</t>
  </si>
  <si>
    <t xml:space="preserve">Test chức năng Không đạt (khi đã chạy hết)</t>
  </si>
  <si>
    <t xml:space="preserve">test</t>
  </si>
  <si>
    <t xml:space="preserve">K16</t>
  </si>
  <si>
    <t xml:space="preserve">Hiệu năng</t>
  </si>
  <si>
    <t xml:space="preserve">RTF mean</t>
  </si>
  <si>
    <t xml:space="preserve">K17</t>
  </si>
  <si>
    <t xml:space="preserve">RTF p95</t>
  </si>
  <si>
    <t xml:space="preserve">K18</t>
  </si>
  <si>
    <t xml:space="preserve">Thời gian CPU cho 1 phút audio</t>
  </si>
  <si>
    <t xml:space="preserve">s</t>
  </si>
  <si>
    <t xml:space="preserve">K19</t>
  </si>
  <si>
    <t xml:space="preserve">Năng lượng cho 1 phút audio</t>
  </si>
  <si>
    <t xml:space="preserve">J</t>
  </si>
  <si>
    <t xml:space="preserve">K20</t>
  </si>
  <si>
    <t xml:space="preserve">Peak RSS với file 60 phút</t>
  </si>
  <si>
    <t xml:space="preserve">MB</t>
  </si>
  <si>
    <t xml:space="preserve">K21</t>
  </si>
  <si>
    <t xml:space="preserve">RSS tăng theo độ dài file</t>
  </si>
  <si>
    <t xml:space="preserve">MB/phút</t>
  </si>
  <si>
    <t xml:space="preserve">K22</t>
  </si>
  <si>
    <t xml:space="preserve">RSS tăng mỗi 100 file</t>
  </si>
  <si>
    <t xml:space="preserve">K23</t>
  </si>
  <si>
    <t xml:space="preserve">Kích thước lib.so</t>
  </si>
  <si>
    <t xml:space="preserve">KB</t>
  </si>
  <si>
    <t xml:space="preserve">K24</t>
  </si>
  <si>
    <t xml:space="preserve">Kích thước model</t>
  </si>
  <si>
    <t xml:space="preserve">K25</t>
  </si>
  <si>
    <t xml:space="preserve">Thời gian init</t>
  </si>
  <si>
    <t xml:space="preserve">Tổng hợp gate</t>
  </si>
  <si>
    <t xml:space="preserve">Chưa đo</t>
  </si>
  <si>
    <t xml:space="preserve">Chưa có tiêu chí</t>
  </si>
  <si>
    <t xml:space="preserve">Kết luận chung</t>
  </si>
  <si>
    <t xml:space="preserve">CI Δ = khoảng tin cậy 95% của (candidate − baseline) từ paired bootstrap theo file. "Có ý nghĩa" khi khoảng không chứa 0.</t>
  </si>
  <si>
    <t xml:space="preserve">Snapshot baseline – cấu hình được đóng băng</t>
  </si>
  <si>
    <t xml:space="preserve">Mọi số liệu baseline phải truy được về đúng cấu hình này. Cột vàng = bạn điền; cột 'Thay đổi?' tự đánh dấu mục candidate khác baseline.</t>
  </si>
  <si>
    <t xml:space="preserve">Hạng mục</t>
  </si>
  <si>
    <t xml:space="preserve">Thay đổi?</t>
  </si>
  <si>
    <t xml:space="preserve">Chung</t>
  </si>
  <si>
    <t xml:space="preserve">Tên phiên bản / git tag</t>
  </si>
  <si>
    <t xml:space="preserve">Ngày chốt</t>
  </si>
  <si>
    <t xml:space="preserve">Định dạng dd/mm/yyyy</t>
  </si>
  <si>
    <t xml:space="preserve">Người chốt</t>
  </si>
  <si>
    <t xml:space="preserve">Model</t>
  </si>
  <si>
    <t xml:space="preserve">File model</t>
  </si>
  <si>
    <t xml:space="preserve">SHA256 file model</t>
  </si>
  <si>
    <t xml:space="preserve">sha256sum &lt;model&gt;</t>
  </si>
  <si>
    <t xml:space="preserve">Kiến trúc</t>
  </si>
  <si>
    <t xml:space="preserve">YAMNet transfer learning, 2 lớp</t>
  </si>
  <si>
    <t xml:space="preserve">Theo cấu hình hiện tại</t>
  </si>
  <si>
    <t xml:space="preserve">Kiểu số (float32 / fp16 / int8)</t>
  </si>
  <si>
    <t xml:space="preserve">Lib</t>
  </si>
  <si>
    <t xml:space="preserve">Commit lib.so</t>
  </si>
  <si>
    <t xml:space="preserve">Compiler &amp; build flags</t>
  </si>
  <si>
    <t xml:space="preserve">vd clang, -O3, LTO, strip</t>
  </si>
  <si>
    <t xml:space="preserve">Runtime &amp; version (TFLite / ONNX, delegate)</t>
  </si>
  <si>
    <t xml:space="preserve">Input lib</t>
  </si>
  <si>
    <t xml:space="preserve">Input PCM chấp nhận (sample rate, số kênh, kiểu mẫu)</t>
  </si>
  <si>
    <t xml:space="preserve">Hợp đồng giữa app và lib; decode nằm ngoài lib</t>
  </si>
  <si>
    <t xml:space="preserve">Độ dài input tối đa</t>
  </si>
  <si>
    <t xml:space="preserve">Giới hạn theo RAM, xem File dai va batch</t>
  </si>
  <si>
    <t xml:space="preserve">Tiền xử lý</t>
  </si>
  <si>
    <t xml:space="preserve">Resampler (thư viện, chất lượng)</t>
  </si>
  <si>
    <t xml:space="preserve">Phải khớp tiền xử lý lúc train</t>
  </si>
  <si>
    <t xml:space="preserve">Cách downmix</t>
  </si>
  <si>
    <t xml:space="preserve">vd trung bình các kênh / lấy kênh 0</t>
  </si>
  <si>
    <t xml:space="preserve">Tham số</t>
  </si>
  <si>
    <t xml:space="preserve">Sample rate model (Hz)</t>
  </si>
  <si>
    <t xml:space="preserve">Theo checklist mục 5c</t>
  </si>
  <si>
    <t xml:space="preserve">Window (s)</t>
  </si>
  <si>
    <t xml:space="preserve">YAMNet</t>
  </si>
  <si>
    <t xml:space="preserve">Hop (s)</t>
  </si>
  <si>
    <t xml:space="preserve">Xử lý cửa sổ cuối (&lt; 0.96 s)</t>
  </si>
  <si>
    <t xml:space="preserve">Pad 0 / bỏ / cửa sổ lùi về cuối file</t>
  </si>
  <si>
    <t xml:space="preserve">Cách gộp score overlap</t>
  </si>
  <si>
    <t xml:space="preserve">Mean / max / median / trọng số – xem Ablation mục B</t>
  </si>
  <si>
    <t xml:space="preserve">Ngưỡng quyết định</t>
  </si>
  <si>
    <t xml:space="preserve">Youden trên dữ liệu thiết kế – thay bằng ngưỡng chọn trên dev (Bước 5)</t>
  </si>
  <si>
    <t xml:space="preserve">Pad trước (ms)</t>
  </si>
  <si>
    <t xml:space="preserve">Cấu hình A4</t>
  </si>
  <si>
    <t xml:space="preserve">Pad sau (ms)</t>
  </si>
  <si>
    <t xml:space="preserve">Drop: độ dài segment tối thiểu (ms)</t>
  </si>
  <si>
    <t xml:space="preserve">Xem Ablation mục C</t>
  </si>
  <si>
    <t xml:space="preserve">Merge gap (ms)</t>
  </si>
  <si>
    <t xml:space="preserve">Thứ tự hậu xử lý</t>
  </si>
  <si>
    <t xml:space="preserve">padding → drop → merge</t>
  </si>
  <si>
    <t xml:space="preserve">Theo mô tả pipeline – kiểm tra lại; xem Ablation mục D</t>
  </si>
  <si>
    <t xml:space="preserve">Rebin để so GT (s)</t>
  </si>
  <si>
    <t xml:space="preserve">Dữ liệu</t>
  </si>
  <si>
    <t xml:space="preserve">Version tập dev</t>
  </si>
  <si>
    <t xml:space="preserve">Version tập test</t>
  </si>
  <si>
    <t xml:space="preserve">Số file dev / test</t>
  </si>
  <si>
    <t xml:space="preserve">Tổng giờ audio test</t>
  </si>
  <si>
    <t xml:space="preserve">Version tập nhãn mịn (10–20 ms)</t>
  </si>
  <si>
    <t xml:space="preserve">Dùng cho sheet Bien va timestamp</t>
  </si>
  <si>
    <t xml:space="preserve">Version tập non-speech dài</t>
  </si>
  <si>
    <t xml:space="preserve">Dùng cho sheet File dai va batch</t>
  </si>
  <si>
    <t xml:space="preserve">Đánh giá</t>
  </si>
  <si>
    <t xml:space="preserve">Commit script đánh giá</t>
  </si>
  <si>
    <t xml:space="preserve">Bootstrap: seed / số lần lặp</t>
  </si>
  <si>
    <t xml:space="preserve">vd 42 / 1000</t>
  </si>
  <si>
    <t xml:space="preserve">Thiết bị đo hiệu năng</t>
  </si>
  <si>
    <t xml:space="preserve">Chi tiết ở sheet Performance, mục A</t>
  </si>
  <si>
    <t xml:space="preserve">Tích hợp</t>
  </si>
  <si>
    <t xml:space="preserve">Decoder phía app &amp; version</t>
  </si>
  <si>
    <t xml:space="preserve">ffmpeg / MediaCodec / AVFoundation / minimp3…</t>
  </si>
  <si>
    <t xml:space="preserve">Có bù encoder delay / priming (gapless) không</t>
  </si>
  <si>
    <t xml:space="preserve">Xem Tich hop decode mục B</t>
  </si>
  <si>
    <t xml:space="preserve">Quy trình đánh giá VAD (bin 0.5s, có hậu xử lý)</t>
  </si>
  <si>
    <t xml:space="preserve">Cột vàng = bạn điền. Trạng thái chọn từ danh sách.</t>
  </si>
  <si>
    <t xml:space="preserve">Tên bước</t>
  </si>
  <si>
    <t xml:space="preserve">Mục tiêu</t>
  </si>
  <si>
    <t xml:space="preserve">Công cụ</t>
  </si>
  <si>
    <t xml:space="preserve">Chia dữ liệu</t>
  </si>
  <si>
    <t xml:space="preserve">Tránh rò rỉ, đánh giá trung thực</t>
  </si>
  <si>
    <t xml:space="preserve">Chia dev ~30% / test ~70% theo nguồn gốc bản ghi (không theo clip); phân tầng theo category; bổ sung tập thật/khó (tự thu hoặc AVA-Speech).</t>
  </si>
  <si>
    <t xml:space="preserve">Danh sách file dev/test + cột group</t>
  </si>
  <si>
    <t xml:space="preserve">sklearn StratifiedGroupKFold, GroupShuffleSplit</t>
  </si>
  <si>
    <t xml:space="preserve">Chuẩn hóa GT</t>
  </si>
  <si>
    <t xml:space="preserve">Nhãn bin 0.5s rõ ràng, có cờ biên</t>
  </si>
  <si>
    <t xml:space="preserve">Tính frac_speech mỗi bin; gắn cờ bin biên (±1 bin) và bin mơ hồ; quy tắc rebin model trùng quy tắc tạo GT; gắn metadata (category, SNR, loại nền, loại giọng).</t>
  </si>
  <si>
    <t xml:space="preserve">Bảng bin: file, bin, y, frac, is_boundary, is_ambiguous, metadata</t>
  </si>
  <si>
    <t xml:space="preserve">numpy, pandas</t>
  </si>
  <si>
    <t xml:space="preserve">Kiểm tra alignment &amp; rò rỉ</t>
  </si>
  <si>
    <t xml:space="preserve">Loại lỗi pipeline trước khi đo</t>
  </si>
  <si>
    <t xml:space="preserve">Chạy sheet 'Kiem tra du lieu' (mục 5a–5e, 2a–2c): ghép file, thời lượng, 16 kHz mono, offset +0.48s, quét shift ±1s.</t>
  </si>
  <si>
    <t xml:space="preserve">Bảng cờ theo file; đồ thị F1 theo shift</t>
  </si>
  <si>
    <t xml:space="preserve">vadqc.py, soundfile, librosa</t>
  </si>
  <si>
    <t xml:space="preserve">Tầng A – điểm thô</t>
  </si>
  <si>
    <t xml:space="preserve">Đo khả năng phân biệt nội tại</t>
  </si>
  <si>
    <t xml:space="preserve">ROC-AUC, PR-AUC, DET, TPR@FPR=1%/5%, reliability diagram; micro + macro theo file/category; trên 3 tập bin: tất cả / không biên / rõ ràng.</t>
  </si>
  <si>
    <t xml:space="preserve">Bảng metric tầng A + ROC/PR/DET</t>
  </si>
  <si>
    <t xml:space="preserve">sklearn.metrics</t>
  </si>
  <si>
    <t xml:space="preserve">Chọn ngưỡng trên dev</t>
  </si>
  <si>
    <t xml:space="preserve">Điểm vận hành phù hợp ứng dụng</t>
  </si>
  <si>
    <t xml:space="preserve">Quét ngưỡng qua TOÀN pipeline trên dev; tối thiểu DCF hoặc cố định FAR; ghi lại ngưỡng Youden tầng A để so sánh; bootstrap CI của ngưỡng.</t>
  </si>
  <si>
    <t xml:space="preserve">Ngưỡng cố định cho test + CI</t>
  </si>
  <si>
    <t xml:space="preserve">numpy, sklearn</t>
  </si>
  <si>
    <t xml:space="preserve">Tầng B – đầu ra cuối (test)</t>
  </si>
  <si>
    <t xml:space="preserve">Đo hiệu năng người dùng cảm nhận</t>
  </si>
  <si>
    <t xml:space="preserve">MR, FAR, F1, DCF, DetER ở 3 chế độ (strict / ±1 bin / chỉ biên); tách FEC/MSC/OVER/NDS; event-F1 (t_collar=0.5s); fragmentation/over-merge; histogram Δonset/Δoffset.</t>
  </si>
  <si>
    <t xml:space="preserve">Sheet 'Bao cao category' + đồ thị</t>
  </si>
  <si>
    <t xml:space="preserve">pyannote.metrics, sed_eval</t>
  </si>
  <si>
    <t xml:space="preserve">Ablation hậu xử lý</t>
  </si>
  <si>
    <t xml:space="preserve">Quy trách nhiệm lỗi model vs hậu xử lý</t>
  </si>
  <si>
    <t xml:space="preserve">Chạy A0–A4 và lưới quét pad/merge (sheet 'Ablation'); đếm riêng gap GT ≤1s bị lấp.</t>
  </si>
  <si>
    <t xml:space="preserve">Bảng ablation + heatmap F1(pad, merge)</t>
  </si>
  <si>
    <t xml:space="preserve">script nội bộ</t>
  </si>
  <si>
    <t xml:space="preserve">Báo cáo</t>
  </si>
  <si>
    <t xml:space="preserve">Kết quả có CI, phân tầng, có giải thích</t>
  </si>
  <si>
    <t xml:space="preserve">Mỗi metric kèm CI 95% bootstrap theo file; bảng per-category; top-K file lỗi đã nghe kiểm tra kèm nguyên nhân; báo cả số tổng hợp và số dữ liệu thật.</t>
  </si>
  <si>
    <t xml:space="preserve">Báo cáo cuối</t>
  </si>
  <si>
    <t xml:space="preserve">matplotlib</t>
  </si>
  <si>
    <t xml:space="preserve">Tỷ lệ = số bước 'Đạt' / số bước áp dụng</t>
  </si>
  <si>
    <t xml:space="preserve">Danh mục metric</t>
  </si>
  <si>
    <t xml:space="preserve">Tầng A = điểm thô trước hậu xử lý; Tầng B = đầu ra nhị phân sau hậu xử lý. Tầng C = hiệu năng lib; tầng S = biên, file, parity; tầng I = tích hợp decode (ngoài lib).</t>
  </si>
  <si>
    <t xml:space="preserve">Tầng</t>
  </si>
  <si>
    <t xml:space="preserve">Metric</t>
  </si>
  <si>
    <t xml:space="preserve">Định nghĩa / công thức</t>
  </si>
  <si>
    <t xml:space="preserve">Ý nghĩa</t>
  </si>
  <si>
    <t xml:space="preserve">Chế độ báo cáo</t>
  </si>
  <si>
    <t xml:space="preserve">A</t>
  </si>
  <si>
    <t xml:space="preserve">ROC-AUC</t>
  </si>
  <si>
    <t xml:space="preserve">Diện tích dưới đường ROC</t>
  </si>
  <si>
    <t xml:space="preserve">Khả năng xếp hạng speech &gt; non-speech</t>
  </si>
  <si>
    <t xml:space="preserve">roc_auc_score</t>
  </si>
  <si>
    <t xml:space="preserve">micro + macro; tất cả / không biên / rõ ràng</t>
  </si>
  <si>
    <t xml:space="preserve">PR-AUC (AP)</t>
  </si>
  <si>
    <t xml:space="preserve">Diện tích dưới đường Precision-Recall</t>
  </si>
  <si>
    <t xml:space="preserve">Phản ánh đúng hơn khi mất cân bằng lớp</t>
  </si>
  <si>
    <t xml:space="preserve">average_precision_score</t>
  </si>
  <si>
    <t xml:space="preserve">micro + macro</t>
  </si>
  <si>
    <t xml:space="preserve">DET curve</t>
  </si>
  <si>
    <t xml:space="preserve">FNR vs FPR trên trục normal deviate</t>
  </si>
  <si>
    <t xml:space="preserve">Chuẩn ngành speech, rõ vùng FAR thấp</t>
  </si>
  <si>
    <t xml:space="preserve">det_curve, DetCurveDisplay</t>
  </si>
  <si>
    <t xml:space="preserve">micro</t>
  </si>
  <si>
    <t xml:space="preserve">TPR @ FPR cố định</t>
  </si>
  <si>
    <t xml:space="preserve">TPR khi FPR = 1% / 5%</t>
  </si>
  <si>
    <t xml:space="preserve">Điểm vận hành thực tế</t>
  </si>
  <si>
    <t xml:space="preserve">roc_curve</t>
  </si>
  <si>
    <t xml:space="preserve">Calibration (ECE, Brier)</t>
  </si>
  <si>
    <t xml:space="preserve">Reliability diagram; Brier = mean((p−y)²)</t>
  </si>
  <si>
    <t xml:space="preserve">Score có dùng như xác suất được không</t>
  </si>
  <si>
    <t xml:space="preserve">calibration_curve, brier_score_loss</t>
  </si>
  <si>
    <t xml:space="preserve">B</t>
  </si>
  <si>
    <t xml:space="preserve">Miss rate (MR)</t>
  </si>
  <si>
    <t xml:space="preserve">FN / tổng bin speech GT</t>
  </si>
  <si>
    <t xml:space="preserve">Bỏ sót speech</t>
  </si>
  <si>
    <t xml:space="preserve">tự tính / pyannote</t>
  </si>
  <si>
    <t xml:space="preserve">strict / ±1 bin / chỉ biên</t>
  </si>
  <si>
    <t xml:space="preserve">False alarm rate (FAR)</t>
  </si>
  <si>
    <t xml:space="preserve">FP / tổng bin non-speech GT</t>
  </si>
  <si>
    <t xml:space="preserve">Báo nhầm speech</t>
  </si>
  <si>
    <t xml:space="preserve">Precision / Recall / F1</t>
  </si>
  <si>
    <t xml:space="preserve">Theo bin, lớp speech</t>
  </si>
  <si>
    <t xml:space="preserve">Chất lượng tổng thể</t>
  </si>
  <si>
    <t xml:space="preserve">sklearn</t>
  </si>
  <si>
    <t xml:space="preserve">strict / ±1 bin</t>
  </si>
  <si>
    <t xml:space="preserve">Specificity, Balanced acc.</t>
  </si>
  <si>
    <t xml:space="preserve">TN/(TN+FP); (TPR+TNR)/2</t>
  </si>
  <si>
    <t xml:space="preserve">Ít phụ thuộc tỉ lệ lớp</t>
  </si>
  <si>
    <t xml:space="preserve">Detection Error Rate</t>
  </si>
  <si>
    <t xml:space="preserve">(FA + Miss) / tổng speech</t>
  </si>
  <si>
    <t xml:space="preserve">Chuẩn pyannote</t>
  </si>
  <si>
    <t xml:space="preserve">pyannote DetectionErrorRate(collar=1.0)</t>
  </si>
  <si>
    <t xml:space="preserve">strict / collar</t>
  </si>
  <si>
    <t xml:space="preserve">DCF</t>
  </si>
  <si>
    <t xml:space="preserve">0.75·MR + 0.25·FAR</t>
  </si>
  <si>
    <t xml:space="preserve">Chuẩn NIST OpenSAT, phạt miss nặng hơn</t>
  </si>
  <si>
    <t xml:space="preserve">pyannote DetectionCostFunction</t>
  </si>
  <si>
    <t xml:space="preserve">FEC / MSC / OVER / NDS</t>
  </si>
  <si>
    <t xml:space="preserve">Cắt đầu / cắt giữa / kéo dài sau / nhiễu thành speech</t>
  </si>
  <si>
    <t xml:space="preserve">Tách lỗi biên (FEC, OVER) và lỗi thật (MSC, NDS)</t>
  </si>
  <si>
    <t xml:space="preserve">tự tính</t>
  </si>
  <si>
    <t xml:space="preserve">theo category</t>
  </si>
  <si>
    <t xml:space="preserve">Event-F1</t>
  </si>
  <si>
    <t xml:space="preserve">sed_eval EventBasedMetrics(t_collar=0.5, percentage_of_length=0.5)</t>
  </si>
  <si>
    <t xml:space="preserve">Chất lượng theo đoạn</t>
  </si>
  <si>
    <t xml:space="preserve">sed_eval</t>
  </si>
  <si>
    <t xml:space="preserve">onset+offset; onset-only</t>
  </si>
  <si>
    <t xml:space="preserve">Fragmentation / over-merge</t>
  </si>
  <si>
    <t xml:space="preserve">#đoạn dự đoán / #đoạn GT; purity, coverage</t>
  </si>
  <si>
    <t xml:space="preserve">Phân mảnh hay gộp quá tay</t>
  </si>
  <si>
    <t xml:space="preserve">pyannote SegmentationPurity/Coverage</t>
  </si>
  <si>
    <t xml:space="preserve">Δonset / Δoffset</t>
  </si>
  <si>
    <t xml:space="preserve">onset_pred − onset_gt (tương tự offset)</t>
  </si>
  <si>
    <t xml:space="preserve">Độ lệch biên có hệ thống (do pad/merge)</t>
  </si>
  <si>
    <t xml:space="preserve">histogram</t>
  </si>
  <si>
    <t xml:space="preserve">C</t>
  </si>
  <si>
    <t xml:space="preserve">RTF</t>
  </si>
  <si>
    <t xml:space="preserve">Thời gian xử lý / thời lượng audio</t>
  </si>
  <si>
    <t xml:space="preserve">&lt; 1 là nhanh hơn thời gian thực; càng nhỏ càng tốt</t>
  </si>
  <si>
    <t xml:space="preserve">benchmark harness</t>
  </si>
  <si>
    <t xml:space="preserve">mean, p95</t>
  </si>
  <si>
    <t xml:space="preserve">Thời gian theo stage</t>
  </si>
  <si>
    <t xml:space="preserve">ms cho mỗi phút audio, từng stage của pipeline</t>
  </si>
  <si>
    <t xml:space="preserve">Biết stage nào cần tối ưu</t>
  </si>
  <si>
    <t xml:space="preserve">harness, simpleperf / perf</t>
  </si>
  <si>
    <t xml:space="preserve">Thời gian CPU</t>
  </si>
  <si>
    <t xml:space="preserve">user + sys cho 1 phút audio, cộng mọi thread</t>
  </si>
  <si>
    <t xml:space="preserve">Chi phí tính toán thật khi chạy nhiều thread</t>
  </si>
  <si>
    <t xml:space="preserve">getrusage, /proc/&lt;pid&gt;/stat</t>
  </si>
  <si>
    <t xml:space="preserve">giây / phút audio</t>
  </si>
  <si>
    <t xml:space="preserve">Năng lượng</t>
  </si>
  <si>
    <t xml:space="preserve">(P_chạy − P_idle) × thời gian xử lý</t>
  </si>
  <si>
    <t xml:space="preserve">Tiêu thụ pin</t>
  </si>
  <si>
    <t xml:space="preserve">Battery Historian, power monitor, RAPL</t>
  </si>
  <si>
    <t xml:space="preserve">J / phút audio; J / giờ</t>
  </si>
  <si>
    <t xml:space="preserve">Peak RSS theo độ dài file</t>
  </si>
  <si>
    <t xml:space="preserve">VmHWM với file 1 / 10 / 60 / 180 phút</t>
  </si>
  <si>
    <t xml:space="preserve">Độ dài tối đa chạy được; độ dốc MB/phút</t>
  </si>
  <si>
    <t xml:space="preserve">/proc/&lt;pid&gt;/status, heaptrack</t>
  </si>
  <si>
    <t xml:space="preserve">MB; MB/phút</t>
  </si>
  <si>
    <t xml:space="preserve">Rò rỉ theo batch</t>
  </si>
  <si>
    <t xml:space="preserve">RSS sau N file trên cùng instance</t>
  </si>
  <si>
    <t xml:space="preserve">Bộ nhớ không được tăng dần giữa các file</t>
  </si>
  <si>
    <t xml:space="preserve">harness</t>
  </si>
  <si>
    <t xml:space="preserve">MB / 100 file</t>
  </si>
  <si>
    <t xml:space="preserve">Kích thước</t>
  </si>
  <si>
    <t xml:space="preserve">File model + lib.so (stripped)</t>
  </si>
  <si>
    <t xml:space="preserve">Dung lượng ứng dụng</t>
  </si>
  <si>
    <t xml:space="preserve">ls -l, bloaty</t>
  </si>
  <si>
    <t xml:space="preserve">S</t>
  </si>
  <si>
    <t xml:space="preserve">Δonset / Δoffset (nhãn mịn)</t>
  </si>
  <si>
    <t xml:space="preserve">Biên dự đoán − biên GT trên nhãn 10–20 ms</t>
  </si>
  <si>
    <t xml:space="preserve">Độ chính xác biên thật, không bị bin 0.5 s che</t>
  </si>
  <si>
    <t xml:space="preserve">median, |Δ| p95</t>
  </si>
  <si>
    <t xml:space="preserve">Chất lượng theo vị trí</t>
  </si>
  <si>
    <t xml:space="preserve">Recall/FAR ở đầu, giữa, cuối file</t>
  </si>
  <si>
    <t xml:space="preserve">Vùng biên có ít cửa sổ phủ hơn</t>
  </si>
  <si>
    <t xml:space="preserve">theo vị trí</t>
  </si>
  <si>
    <t xml:space="preserve">FA/giờ</t>
  </si>
  <si>
    <t xml:space="preserve">Số segment FA / số giờ audio không lời</t>
  </si>
  <si>
    <t xml:space="preserve">Báo nhầm trên nội dung dài</t>
  </si>
  <si>
    <t xml:space="preserve">theo loại audio + tổng</t>
  </si>
  <si>
    <t xml:space="preserve">Chênh lệch lib so với Python, từ waveform đến F1</t>
  </si>
  <si>
    <t xml:space="preserve">Bảo đảm lib khớp model đã đánh giá</t>
  </si>
  <si>
    <t xml:space="preserve">script so sánh</t>
  </si>
  <si>
    <t xml:space="preserve">max/mean |Δ|, % bin khác</t>
  </si>
  <si>
    <t xml:space="preserve">I</t>
  </si>
  <si>
    <t xml:space="preserve">Lệch timestamp decode</t>
  </si>
  <si>
    <t xml:space="preserve">Lag cross-correlation giữa PCM decode và wav gốc</t>
  </si>
  <si>
    <t xml:space="preserve">Encoder delay / priming làm lệch mọi segment</t>
  </si>
  <si>
    <t xml:space="preserve">script, ffmpeg</t>
  </si>
  <si>
    <t xml:space="preserve">ms theo định dạng</t>
  </si>
  <si>
    <t xml:space="preserve">Checklist kiểm tra chất lượng dữ liệu (Bước 8)</t>
  </si>
  <si>
    <t xml:space="preserve">Thứ tự khuyến nghị: 5 → 1 → 2 → 3 → 4. Ngưỡng là ngưỡng thực hành, hãy tự hiệu chỉnh. Cột vàng = bạn điền.</t>
  </si>
  <si>
    <t xml:space="preserve">Kiểm tra</t>
  </si>
  <si>
    <t xml:space="preserve">Cách đo</t>
  </si>
  <si>
    <t xml:space="preserve">Ngưỡng cảnh báo</t>
  </si>
  <si>
    <t xml:space="preserve">Hành động khi bị gắn cờ</t>
  </si>
  <si>
    <t xml:space="preserve">Kết quả đo</t>
  </si>
  <si>
    <t xml:space="preserve">5a</t>
  </si>
  <si>
    <t xml:space="preserve">Căn chỉnh</t>
  </si>
  <si>
    <t xml:space="preserve">Ghép file Model↔GT</t>
  </si>
  <si>
    <t xml:space="preserve">pair_files: thiếu, dư, sai category</t>
  </si>
  <si>
    <t xml:space="preserve">Bất kỳ lỗi nào</t>
  </si>
  <si>
    <t xml:space="preserve">Sửa tên/đường dẫn trước mọi bước khác</t>
  </si>
  <si>
    <t xml:space="preserve">5b</t>
  </si>
  <si>
    <t xml:space="preserve">Thời lượng / số bin</t>
  </si>
  <si>
    <t xml:space="preserve">wav_dur vs n_bins×0.5; last_end của model</t>
  </si>
  <si>
    <t xml:space="preserve">Lệch &gt; 1 bin</t>
  </si>
  <si>
    <t xml:space="preserve">Kiểm tra cắt clip, padding cuối file</t>
  </si>
  <si>
    <t xml:space="preserve">5c</t>
  </si>
  <si>
    <t xml:space="preserve">Định dạng audio</t>
  </si>
  <si>
    <t xml:space="preserve">sr = 16000, mono, biên độ [-1,1]</t>
  </si>
  <si>
    <t xml:space="preserve">Khác</t>
  </si>
  <si>
    <t xml:space="preserve">Resample (librosa), chạy lại YAMNet</t>
  </si>
  <si>
    <t xml:space="preserve">5d</t>
  </si>
  <si>
    <t xml:space="preserve">Hop / cửa sổ</t>
  </si>
  <si>
    <t xml:space="preserve">diff(start) = 0.08; end − start = 0.96</t>
  </si>
  <si>
    <t xml:space="preserve">Sai</t>
  </si>
  <si>
    <t xml:space="preserve">Sửa script xuất file</t>
  </si>
  <si>
    <t xml:space="preserve">5e</t>
  </si>
  <si>
    <t xml:space="preserve">Offset tâm cửa sổ</t>
  </si>
  <si>
    <t xml:space="preserve">Quét shift ±1s, bước 0.08s; cross-correlation theo file</t>
  </si>
  <si>
    <t xml:space="preserve">Đỉnh F1 lệch 0 quá ±0.08s</t>
  </si>
  <si>
    <t xml:space="preserve">Cộng +0.48s; đánh giá lại</t>
  </si>
  <si>
    <t xml:space="preserve">1a</t>
  </si>
  <si>
    <t xml:space="preserve">Phân bố</t>
  </si>
  <si>
    <t xml:space="preserve">File suy biến</t>
  </si>
  <si>
    <t xml:space="preserve">Tỉ lệ speech = 0 hoặc 1</t>
  </si>
  <si>
    <t xml:space="preserve">&gt; 5–10% số file</t>
  </si>
  <si>
    <t xml:space="preserve">Loại khỏi chỉ số per-file; báo riêng</t>
  </si>
  <si>
    <t xml:space="preserve">1b</t>
  </si>
  <si>
    <t xml:space="preserve">File cực đoan</t>
  </si>
  <si>
    <t xml:space="preserve">Tỉ lệ speech &lt; 0.1 hoặc &gt; 0.9</t>
  </si>
  <si>
    <t xml:space="preserve">&gt; 30% số file</t>
  </si>
  <si>
    <t xml:space="preserve">Cân bằng lại khi sinh dữ liệu</t>
  </si>
  <si>
    <t xml:space="preserve">1c</t>
  </si>
  <si>
    <t xml:space="preserve">Độ phức tạp thời gian</t>
  </si>
  <si>
    <t xml:space="preserve">#transitions, độ dài đoạn, % bin biên</t>
  </si>
  <si>
    <t xml:space="preserve">Trung vị transitions ≤ 1</t>
  </si>
  <si>
    <t xml:space="preserve">Thêm clip nhiều chuyển trạng thái</t>
  </si>
  <si>
    <t xml:space="preserve">1d</t>
  </si>
  <si>
    <t xml:space="preserve">AUC pooled vs theo file</t>
  </si>
  <si>
    <t xml:space="preserve">Chênh lệch; AUC file tệ nhất</t>
  </si>
  <si>
    <t xml:space="preserve">Chênh &gt; 0.005; file &lt; 0.9</t>
  </si>
  <si>
    <t xml:space="preserve">Xem timeline các file tệ</t>
  </si>
  <si>
    <t xml:space="preserve">2a</t>
  </si>
  <si>
    <t xml:space="preserve">Rò rỉ</t>
  </si>
  <si>
    <t xml:space="preserve">Rò rỉ theo metadata</t>
  </si>
  <si>
    <t xml:space="preserve">Union-find trên speech_src/noise_src/speaker; #nhóm vắt qua 2 phía</t>
  </si>
  <si>
    <t xml:space="preserve">&gt; 0</t>
  </si>
  <si>
    <t xml:space="preserve">Chia lại bằng StratifiedGroupKFold</t>
  </si>
  <si>
    <t xml:space="preserve">2b</t>
  </si>
  <si>
    <t xml:space="preserve">Trùng / gần trùng</t>
  </si>
  <si>
    <t xml:space="preserve">MD5, Chromaprint, cosine embedding YAMNet</t>
  </si>
  <si>
    <t xml:space="preserve">Vượt τ đã hiệu chỉnh</t>
  </si>
  <si>
    <t xml:space="preserve">Gộp nhóm hoặc bỏ khỏi test</t>
  </si>
  <si>
    <t xml:space="preserve">2c</t>
  </si>
  <si>
    <t xml:space="preserve">Tác động của rò rỉ</t>
  </si>
  <si>
    <t xml:space="preserve">AUC nhóm 'đã thấy' vs 'mới'; retrain theo nhóm</t>
  </si>
  <si>
    <t xml:space="preserve">ΔAUC ≥ 0.01</t>
  </si>
  <si>
    <t xml:space="preserve">Báo con số sau khi chia theo nhóm</t>
  </si>
  <si>
    <t xml:space="preserve">3a</t>
  </si>
  <si>
    <t xml:space="preserve">Nhãn</t>
  </si>
  <si>
    <t xml:space="preserve">Đồng thuận nhãn</t>
  </si>
  <si>
    <t xml:space="preserve">Cohen/Fleiss κ (biên vs trong), PABAK, lệch biên (ms)</t>
  </si>
  <si>
    <t xml:space="preserve">κ trong &lt; 0.9; median lệch &gt; 250ms</t>
  </si>
  <si>
    <t xml:space="preserve">Viết lại hướng dẫn, gán nhãn lại</t>
  </si>
  <si>
    <t xml:space="preserve">3b</t>
  </si>
  <si>
    <t xml:space="preserve">Nhãn đáng ngờ</t>
  </si>
  <si>
    <t xml:space="preserve">cleanlab (out-of-fold) + quy tắc tự tin</t>
  </si>
  <si>
    <t xml:space="preserve">—</t>
  </si>
  <si>
    <t xml:space="preserve">Nghe lại 30–50 bin đầu danh sách</t>
  </si>
  <si>
    <t xml:space="preserve">4a</t>
  </si>
  <si>
    <t xml:space="preserve">Độ khó</t>
  </si>
  <si>
    <t xml:space="preserve">Độ tách điểm số</t>
  </si>
  <si>
    <t xml:space="preserve">% bin 0.1&lt;p&lt;0.9; đường F1 theo ngưỡng</t>
  </si>
  <si>
    <t xml:space="preserve">&lt; 2% và F1 phẳng</t>
  </si>
  <si>
    <t xml:space="preserve">Thêm hard negative / SNR thấp</t>
  </si>
  <si>
    <t xml:space="preserve">4b</t>
  </si>
  <si>
    <t xml:space="preserve">Hard negative</t>
  </si>
  <si>
    <t xml:space="preserve">Số giây theo loại non-speech</t>
  </si>
  <si>
    <t xml:space="preserve">Không có nhạc có lời/TV/cười</t>
  </si>
  <si>
    <t xml:space="preserve">Bổ sung (vd. MUSAN có vocal)</t>
  </si>
  <si>
    <t xml:space="preserve">4c</t>
  </si>
  <si>
    <t xml:space="preserve">Phân bố SNR</t>
  </si>
  <si>
    <t xml:space="preserve">Histogram SNR; AUC theo bucket</t>
  </si>
  <si>
    <t xml:space="preserve">&gt; 80% ở trên 15 dB</t>
  </si>
  <si>
    <t xml:space="preserve">Sinh thêm dữ liệu 0–10 dB</t>
  </si>
  <si>
    <t xml:space="preserve">4d</t>
  </si>
  <si>
    <t xml:space="preserve">Kiểm chứng thực tế</t>
  </si>
  <si>
    <t xml:space="preserve">Đánh giá trên bộ test thật</t>
  </si>
  <si>
    <t xml:space="preserve">Chênh lớn so với dữ liệu tổng hợp</t>
  </si>
  <si>
    <t xml:space="preserve">Báo cả hai; ưu tiên số thực</t>
  </si>
  <si>
    <t xml:space="preserve">Tổng hợp</t>
  </si>
  <si>
    <t xml:space="preserve">% hoàn thành</t>
  </si>
  <si>
    <t xml:space="preserve">Điền MR, FAR, F1 (dạng thập phân, vd 0.05 = 5%). DCF và Δ được tính tự động. Hàng xám = ví dụ minh họa, hãy ghi đè.</t>
  </si>
  <si>
    <t xml:space="preserve">Cấu hình</t>
  </si>
  <si>
    <t xml:space="preserve">Rescore</t>
  </si>
  <si>
    <t xml:space="preserve">Rebin</t>
  </si>
  <si>
    <t xml:space="preserve">MR</t>
  </si>
  <si>
    <t xml:space="preserve">FAR</t>
  </si>
  <si>
    <t xml:space="preserve">F1 strict</t>
  </si>
  <si>
    <t xml:space="preserve">F1 ±1 bin</t>
  </si>
  <si>
    <t xml:space="preserve">ΔDCF so với A0</t>
  </si>
  <si>
    <t xml:space="preserve">A0 – thô</t>
  </si>
  <si>
    <t xml:space="preserve">midpoint → bin</t>
  </si>
  <si>
    <t xml:space="preserve">A1</t>
  </si>
  <si>
    <t xml:space="preserve">✓</t>
  </si>
  <si>
    <t xml:space="preserve">A2</t>
  </si>
  <si>
    <t xml:space="preserve">A3</t>
  </si>
  <si>
    <t xml:space="preserve">A4 – hiện tại</t>
  </si>
  <si>
    <t xml:space="preserve">Lưới quét đề xuất: pad trước {0, 50, 100, 200} ms × pad sau {0, 60, 120, 240} ms × merge gap {0, 250, 500, 750, 1000} ms × drop {0, 100, 250, 500} ms.</t>
  </si>
  <si>
    <t xml:space="preserve">Đọc kết quả: MSC/NDS cao từ A0 → lỗi model. FAR tăng từ A2→A4, tập trung ở offset → do pad/merge. Merge &lt; 500ms dễ lấp khoảng lặng dài 1 bin.</t>
  </si>
  <si>
    <t xml:space="preserve">B. Cách gộp score overlap (hậu xử lý giữ như A4)</t>
  </si>
  <si>
    <t xml:space="preserve">Cách gộp score cho mỗi hop</t>
  </si>
  <si>
    <t xml:space="preserve">ΔDCF so với dòng đầu</t>
  </si>
  <si>
    <t xml:space="preserve">O0</t>
  </si>
  <si>
    <t xml:space="preserve">Chỉ cửa sổ có tâm gần hop nhất (không gộp)</t>
  </si>
  <si>
    <t xml:space="preserve">O1</t>
  </si>
  <si>
    <t xml:space="preserve">Mean các cửa sổ phủ hop</t>
  </si>
  <si>
    <t xml:space="preserve">O2</t>
  </si>
  <si>
    <t xml:space="preserve">Max các cửa sổ phủ hop</t>
  </si>
  <si>
    <t xml:space="preserve">O3</t>
  </si>
  <si>
    <t xml:space="preserve">Median các cửa sổ phủ hop</t>
  </si>
  <si>
    <t xml:space="preserve">O4</t>
  </si>
  <si>
    <t xml:space="preserve">Trung bình trọng số theo khoảng cách tới tâm cửa sổ</t>
  </si>
  <si>
    <t xml:space="preserve">C. Drop – độ dài segment tối thiểu (pad / merge giữ như A4)</t>
  </si>
  <si>
    <t xml:space="preserve">Drop (ms)</t>
  </si>
  <si>
    <t xml:space="preserve">#segment dự đoán / #GT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</si>
  <si>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</si>
  <si>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</si>
  <si>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</si>
  <si>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</si>
  <si>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</si>
  <si>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D. Thứ tự hậu xử lý (tham số giữ như A4 + drop đã chọn)</t>
  </si>
  <si>
    <t xml:space="preserve">Thứ tự</t>
  </si>
  <si>
    <t xml:space="preserve">P1</t>
  </si>
  <si>
    <t xml:space="preserve">padding → drop → merge (hiện tại)</t>
  </si>
  <si>
    <t xml:space="preserve">P2</t>
  </si>
  <si>
    <t xml:space="preserve">padding → merge → drop</t>
  </si>
  <si>
    <t xml:space="preserve">P3</t>
  </si>
  <si>
    <t xml:space="preserve">merge → drop → padding</t>
  </si>
  <si>
    <t xml:space="preserve">P4</t>
  </si>
  <si>
    <t xml:space="preserve">drop → merge → padding</t>
  </si>
  <si>
    <t xml:space="preserve">Chọn xong cách gộp, drop và thứ tự thì ghi vào Snapshot. #segment dự đoán / #GT &gt; 1 = phân mảnh; &lt; 1 = gộp quá tay.</t>
  </si>
  <si>
    <t xml:space="preserve">Báo cáo theo category (tầng B, trên test)</t>
  </si>
  <si>
    <t xml:space="preserve">Điền số liệu theo category. DCF, lỗi biên tính tự động. Hàng xám = ví dụ minh họa.</t>
  </si>
  <si>
    <t xml:space="preserve">Category</t>
  </si>
  <si>
    <t xml:space="preserve">#file</t>
  </si>
  <si>
    <t xml:space="preserve">% speech</t>
  </si>
  <si>
    <t xml:space="preserve">FEC</t>
  </si>
  <si>
    <t xml:space="preserve">MSC</t>
  </si>
  <si>
    <t xml:space="preserve">OVER</t>
  </si>
  <si>
    <t xml:space="preserve">NDS</t>
  </si>
  <si>
    <t xml:space="preserve">F1 CI thấp</t>
  </si>
  <si>
    <t xml:space="preserve">F1 CI cao</t>
  </si>
  <si>
    <t xml:space="preserve">Phần F1 mất do biên</t>
  </si>
  <si>
    <t xml:space="preserve">% lỗi thật</t>
  </si>
  <si>
    <t xml:space="preserve">Asm (ví dụ)</t>
  </si>
  <si>
    <t xml:space="preserve">Macro (TB)</t>
  </si>
  <si>
    <t xml:space="preserve">Tô vàng 'Phần F1 mất do biên' &gt; 3 điểm: phần lớn lỗi nằm ở định vị biên, không phải phân loại.</t>
  </si>
  <si>
    <t xml:space="preserve">Danh sách biểu đồ nên có</t>
  </si>
  <si>
    <t xml:space="preserve">#</t>
  </si>
  <si>
    <t xml:space="preserve">Biểu đồ</t>
  </si>
  <si>
    <t xml:space="preserve">Thuộc bước</t>
  </si>
  <si>
    <t xml:space="preserve">Mục đích</t>
  </si>
  <si>
    <t xml:space="preserve">Đã vẽ?</t>
  </si>
  <si>
    <t xml:space="preserve">ROC &amp; PR chồng theo category</t>
  </si>
  <si>
    <t xml:space="preserve">So sánh khả năng phân biệt giữa category</t>
  </si>
  <si>
    <t xml:space="preserve">Chưa</t>
  </si>
  <si>
    <t xml:space="preserve">DET curve (trục normal deviate)</t>
  </si>
  <si>
    <t xml:space="preserve">Xem vùng FAR thấp</t>
  </si>
  <si>
    <t xml:space="preserve">Reliability diagram</t>
  </si>
  <si>
    <t xml:space="preserve">Kiểm tra hiệu chỉnh score</t>
  </si>
  <si>
    <t xml:space="preserve">MR/FAR theo ngưỡng (trước &amp; sau hậu xử lý)</t>
  </si>
  <si>
    <t xml:space="preserve">Thấy hậu xử lý dịch điểm vận hành</t>
  </si>
  <si>
    <t xml:space="preserve">Bar lỗi biên vs lỗi thật theo category</t>
  </si>
  <si>
    <t xml:space="preserve">Tách nguồn lỗi</t>
  </si>
  <si>
    <t xml:space="preserve">Histogram Δonset / Δoffset</t>
  </si>
  <si>
    <t xml:space="preserve">Phát hiện lệch biên có hệ thống</t>
  </si>
  <si>
    <t xml:space="preserve">Heatmap F1 theo (pad, merge gap)</t>
  </si>
  <si>
    <t xml:space="preserve">Chọn tham số hậu xử lý</t>
  </si>
  <si>
    <t xml:space="preserve">Forest plot metric theo category kèm CI</t>
  </si>
  <si>
    <t xml:space="preserve">Báo cáo có độ bất định</t>
  </si>
  <si>
    <t xml:space="preserve">Histogram tỉ lệ speech mỗi file + boxplot category</t>
  </si>
  <si>
    <t xml:space="preserve">8 (1a–1c)</t>
  </si>
  <si>
    <t xml:space="preserve">Phát hiện file suy biến</t>
  </si>
  <si>
    <t xml:space="preserve">Histogram max-cosine test→train + heatmap</t>
  </si>
  <si>
    <t xml:space="preserve">8 (2b)</t>
  </si>
  <si>
    <t xml:space="preserve">Phát hiện rò rỉ</t>
  </si>
  <si>
    <t xml:space="preserve">Histogram điểm theo lớp (log) + F1 theo ngưỡng</t>
  </si>
  <si>
    <t xml:space="preserve">8 (4a)</t>
  </si>
  <si>
    <t xml:space="preserve">Chẩn đoán dữ liệu quá dễ</t>
  </si>
  <si>
    <t xml:space="preserve">F1/AUC theo shift + histogram lag theo file</t>
  </si>
  <si>
    <t xml:space="preserve">8 (5e)</t>
  </si>
  <si>
    <t xml:space="preserve">Phát hiện lệch thời gian</t>
  </si>
  <si>
    <t xml:space="preserve">Timeline score vs GT cho file tốt/tệ/bị gắn cờ</t>
  </si>
  <si>
    <t xml:space="preserve">8 (3b, 5e)</t>
  </si>
  <si>
    <t xml:space="preserve">Kiểm tra trực quan từng file</t>
  </si>
  <si>
    <t xml:space="preserve">Heatmap tổng quan file × bin</t>
  </si>
  <si>
    <t xml:space="preserve">Nhìn lướt lệch pha, ghép nhầm</t>
  </si>
  <si>
    <t xml:space="preserve">Stacked bar thời gian theo stage (baseline vs candidate)</t>
  </si>
  <si>
    <t xml:space="preserve">KH 2.3</t>
  </si>
  <si>
    <t xml:space="preserve">Thấy stage nào tốn nhất</t>
  </si>
  <si>
    <t xml:space="preserve">Recall theo vị trí trong file (đầu / giữa / cuối)</t>
  </si>
  <si>
    <t xml:space="preserve">KH 3.2</t>
  </si>
  <si>
    <t xml:space="preserve">Phát hiện mất speech ở biên file</t>
  </si>
  <si>
    <t xml:space="preserve">Peak RSS và thời gian theo độ dài file</t>
  </si>
  <si>
    <t xml:space="preserve">KH 3.4</t>
  </si>
  <si>
    <t xml:space="preserve">Độ dài tối đa, tuyến tính hay không</t>
  </si>
  <si>
    <t xml:space="preserve">RSS theo số file đã xử lý</t>
  </si>
  <si>
    <t xml:space="preserve">KH 3.5</t>
  </si>
  <si>
    <t xml:space="preserve">Phát hiện rò rỉ giữa các file</t>
  </si>
  <si>
    <t xml:space="preserve">Bar FA/giờ theo loại audio</t>
  </si>
  <si>
    <t xml:space="preserve">KH 3.6</t>
  </si>
  <si>
    <t xml:space="preserve">Loại nền gây báo nhầm nhiều nhất</t>
  </si>
  <si>
    <t xml:space="preserve">Bar F1 theo điều kiện robustness</t>
  </si>
  <si>
    <t xml:space="preserve">KH 4.1</t>
  </si>
  <si>
    <t xml:space="preserve">Điều kiện làm model suy giảm</t>
  </si>
  <si>
    <t xml:space="preserve">Scatter F1 vs RTF theo hop</t>
  </si>
  <si>
    <t xml:space="preserve">KH 5.3</t>
  </si>
  <si>
    <t xml:space="preserve">Chọn điểm cân bằng chất lượng – chi phí</t>
  </si>
  <si>
    <t xml:space="preserve">Bar lệch timestamp theo định dạng</t>
  </si>
  <si>
    <t xml:space="preserve">KH 6.1</t>
  </si>
  <si>
    <t xml:space="preserve">Định dạng nào cần bù encoder delay</t>
  </si>
  <si>
    <t xml:space="preserve">Cột 'Thuộc bước': số 1–8 = Quy trinh 8 buoc; 'KH x.y' = bước trong Ke hoach baseline.</t>
  </si>
  <si>
    <t xml:space="preserve">Parity – Python reference ↔ lib.so (theo thứ tự pipeline)</t>
  </si>
  <si>
    <t xml:space="preserve">Đưa cùng PCM đã decode vào cả hai, so từng tầng từ waveform đến F1. Ngưỡng xám là gợi ý cho float32 – nới cho int8. Vàng = bạn điền.</t>
  </si>
  <si>
    <t xml:space="preserve">A. Thiết lập</t>
  </si>
  <si>
    <t xml:space="preserve">Python reference (commit / version)</t>
  </si>
  <si>
    <t xml:space="preserve">Lib baseline (commit)</t>
  </si>
  <si>
    <t xml:space="preserve">Lib candidate (commit)</t>
  </si>
  <si>
    <t xml:space="preserve">Tập dữ liệu parity (số file / giờ / định dạng PCM)</t>
  </si>
  <si>
    <t xml:space="preserve">Ngưỡng quyết định dùng khi so</t>
  </si>
  <si>
    <t xml:space="preserve">B. Kiểm tra parity (đạt khi giá trị ≤ ngưỡng)</t>
  </si>
  <si>
    <t xml:space="preserve">Ngưỡng (≤)</t>
  </si>
  <si>
    <t xml:space="preserve">Baseline lib</t>
  </si>
  <si>
    <t xml:space="preserve">Candidate lib</t>
  </si>
  <si>
    <t xml:space="preserve">PA01</t>
  </si>
  <si>
    <t xml:space="preserve">Waveform sau downmix + resample: max |Δ|</t>
  </si>
  <si>
    <t xml:space="preserve">So PCM 16 kHz mono của lib với Python trên cùng input</t>
  </si>
  <si>
    <t xml:space="preserve">Lớn = resampler/downmix khác lúc train (lệch train/serve)</t>
  </si>
  <si>
    <t xml:space="preserve">PA02</t>
  </si>
  <si>
    <t xml:space="preserve">Waveform: lệch thời gian</t>
  </si>
  <si>
    <t xml:space="preserve">Cross-correlation giữa hai waveform</t>
  </si>
  <si>
    <t xml:space="preserve">mẫu</t>
  </si>
  <si>
    <t xml:space="preserve">Resampler khác nhau có thể trễ vài mẫu</t>
  </si>
  <si>
    <t xml:space="preserve">PA03</t>
  </si>
  <si>
    <t xml:space="preserve">Log-mel: max |Δ|</t>
  </si>
  <si>
    <t xml:space="preserve">So feature log-mel từng cửa sổ</t>
  </si>
  <si>
    <t xml:space="preserve">PA04</t>
  </si>
  <si>
    <t xml:space="preserve">Score thô: max |Δ|</t>
  </si>
  <si>
    <t xml:space="preserve">So output model từng cửa sổ</t>
  </si>
  <si>
    <t xml:space="preserve">Với int8 nới ngưỡng, vd 0.02</t>
  </si>
  <si>
    <t xml:space="preserve">PA05</t>
  </si>
  <si>
    <t xml:space="preserve">Score thô: mean |Δ|</t>
  </si>
  <si>
    <t xml:space="preserve">Trung bình trên toàn tập</t>
  </si>
  <si>
    <t xml:space="preserve">PA06</t>
  </si>
  <si>
    <t xml:space="preserve">Score sau xử lý overlap: max |Δ|</t>
  </si>
  <si>
    <t xml:space="preserve">So score đã gộp cho từng hop</t>
  </si>
  <si>
    <t xml:space="preserve">PA07</t>
  </si>
  <si>
    <t xml:space="preserve">% hop đổi quyết định tại ngưỡng</t>
  </si>
  <si>
    <t xml:space="preserve">So (score ≥ ngưỡng) giữa hai bên</t>
  </si>
  <si>
    <t xml:space="preserve">PA08</t>
  </si>
  <si>
    <t xml:space="preserve">% bin 0.5 s khác sau hậu xử lý</t>
  </si>
  <si>
    <t xml:space="preserve">So đầu ra cuối đã rebin</t>
  </si>
  <si>
    <t xml:space="preserve">PA09</t>
  </si>
  <si>
    <t xml:space="preserve">Số segment khác (thêm / mất)</t>
  </si>
  <si>
    <t xml:space="preserve">Ghép segment theo overlap</t>
  </si>
  <si>
    <t xml:space="preserve">cái</t>
  </si>
  <si>
    <t xml:space="preserve">PA10</t>
  </si>
  <si>
    <t xml:space="preserve">Lệch biên segment max</t>
  </si>
  <si>
    <t xml:space="preserve">Trên các segment ghép được</t>
  </si>
  <si>
    <t xml:space="preserve">≤ 1 hop</t>
  </si>
  <si>
    <t xml:space="preserve">PA11</t>
  </si>
  <si>
    <t xml:space="preserve">Số file có khác biệt</t>
  </si>
  <si>
    <t xml:space="preserve">File có ít nhất 1 bin khác</t>
  </si>
  <si>
    <t xml:space="preserve">file</t>
  </si>
  <si>
    <t xml:space="preserve">PA12</t>
  </si>
  <si>
    <t xml:space="preserve">|Chênh F1 strict| (lib − Python)</t>
  </si>
  <si>
    <t xml:space="preserve">Tính F1 tầng B cho cả hai</t>
  </si>
  <si>
    <t xml:space="preserve">Số mục Không đạt</t>
  </si>
  <si>
    <t xml:space="preserve">Số mục chưa đo</t>
  </si>
  <si>
    <t xml:space="preserve">Khi một tầng không đạt, các tầng sau thường cũng lệch – sửa từ tầng đầu tiên không đạt.</t>
  </si>
  <si>
    <t xml:space="preserve">C. File lệch nhiều nhất (nghe / kiểm tra lại)</t>
  </si>
  <si>
    <t xml:space="preserve">File</t>
  </si>
  <si>
    <t xml:space="preserve">Tầng lệch đầu tiên (PA..)</t>
  </si>
  <si>
    <t xml:space="preserve">#bin khác</t>
  </si>
  <si>
    <t xml:space="preserve">Lệch biên max (ms)</t>
  </si>
  <si>
    <t xml:space="preserve">Nguyên nhân nghi ngờ</t>
  </si>
  <si>
    <t xml:space="preserve">Baseline hiệu năng lib.so (xử lý theo file, không tính decode)</t>
  </si>
  <si>
    <t xml:space="preserve">Đo trên thiết bị đích, cùng môi trường và cùng tập file cho baseline và candidate. Vàng = bạn điền; xám = ví dụ minh họa; chữ đen = công thức.</t>
  </si>
  <si>
    <t xml:space="preserve">A. Môi trường đo</t>
  </si>
  <si>
    <t xml:space="preserve">Thiết bị / SoC</t>
  </si>
  <si>
    <t xml:space="preserve">vd tên máy / chip</t>
  </si>
  <si>
    <t xml:space="preserve">ABI / kiến trúc</t>
  </si>
  <si>
    <t xml:space="preserve">arm64-v8a, armeabi-v7a, x86_64…</t>
  </si>
  <si>
    <t xml:space="preserve">Core được dùng (CPU affinity)</t>
  </si>
  <si>
    <t xml:space="preserve">Ghim core cố định; ghi rõ big / little</t>
  </si>
  <si>
    <t xml:space="preserve">CPU governor &amp; tần số</t>
  </si>
  <si>
    <t xml:space="preserve">performance hoặc tần số cố định</t>
  </si>
  <si>
    <t xml:space="preserve">OS / kernel</t>
  </si>
  <si>
    <t xml:space="preserve">Runtime &amp; delegate</t>
  </si>
  <si>
    <t xml:space="preserve">Khớp với Snapshot</t>
  </si>
  <si>
    <t xml:space="preserve">Số thread</t>
  </si>
  <si>
    <t xml:space="preserve">Định dạng PCM đưa vào lib khi đo</t>
  </si>
  <si>
    <t xml:space="preserve">vd 44.1 kHz stereo int16 – resample/downmix tốn thời gian khác nhau theo định dạng</t>
  </si>
  <si>
    <t xml:space="preserve">Tập file đo (số file, tổng thời lượng)</t>
  </si>
  <si>
    <t xml:space="preserve">Cùng bộ cho baseline và candidate; PCM đã decode sẵn</t>
  </si>
  <si>
    <t xml:space="preserve">Chế độ nguồn khi đo điện</t>
  </si>
  <si>
    <t xml:space="preserve">Rút sạc, tắt màn hình, chế độ máy bay</t>
  </si>
  <si>
    <t xml:space="preserve">Nhiệt độ lúc bắt đầu (°C)</t>
  </si>
  <si>
    <t xml:space="preserve">Chờ máy nguội giữa các lần đo</t>
  </si>
  <si>
    <t xml:space="preserve">Số lần warm-up / số lần lặp</t>
  </si>
  <si>
    <t xml:space="preserve">vd 3 / 20; báo mean và p95</t>
  </si>
  <si>
    <t xml:space="preserve">B. Thời gian theo stage (ms cho mỗi phút audio)</t>
  </si>
  <si>
    <t xml:space="preserve">Stage</t>
  </si>
  <si>
    <t xml:space="preserve">Baseline mean</t>
  </si>
  <si>
    <t xml:space="preserve">Baseline p95</t>
  </si>
  <si>
    <t xml:space="preserve">% tổng</t>
  </si>
  <si>
    <t xml:space="preserve">Candidate mean</t>
  </si>
  <si>
    <t xml:space="preserve">Candidate p95</t>
  </si>
  <si>
    <t xml:space="preserve">Δ mean %</t>
  </si>
  <si>
    <t xml:space="preserve">Ghi chú / cách đo</t>
  </si>
  <si>
    <t xml:space="preserve">Nhận input (copy, int16 → float)</t>
  </si>
  <si>
    <t xml:space="preserve">Downmix</t>
  </si>
  <si>
    <t xml:space="preserve">Resample</t>
  </si>
  <si>
    <t xml:space="preserve">0 nếu input đã là 16 kHz</t>
  </si>
  <si>
    <t xml:space="preserve">Chia cửa sổ + log-mel</t>
  </si>
  <si>
    <t xml:space="preserve">Offline: tính log-mel một lần cho cả file rồi cắt cửa sổ, tránh tính lại ~12 lần</t>
  </si>
  <si>
    <t xml:space="preserve">Inference</t>
  </si>
  <si>
    <t xml:space="preserve">Thường chiếm phần lớn thời gian</t>
  </si>
  <si>
    <t xml:space="preserve">Xử lý overlap (gộp score)</t>
  </si>
  <si>
    <t xml:space="preserve">Hậu xử lý (padding, drop, merge)</t>
  </si>
  <si>
    <t xml:space="preserve">Overhead khác (cấp phát, trả kết quả)</t>
  </si>
  <si>
    <t xml:space="preserve">Tổng (mean cộng dồn; p95 đo trực tiếp)</t>
  </si>
  <si>
    <t xml:space="preserve">p95 của tổng phải đo trực tiếp, không cộng p95 từng stage</t>
  </si>
  <si>
    <t xml:space="preserve">C. Tổng hợp runtime</t>
  </si>
  <si>
    <t xml:space="preserve">Chỉ số</t>
  </si>
  <si>
    <t xml:space="preserve">Hop</t>
  </si>
  <si>
    <t xml:space="preserve">Lấy từ Snapshot</t>
  </si>
  <si>
    <t xml:space="preserve">Thời gian xử lý 1 phút audio – mean</t>
  </si>
  <si>
    <t xml:space="preserve">Từ mục B</t>
  </si>
  <si>
    <t xml:space="preserve">Thời gian xử lý 1 phút audio – p95</t>
  </si>
  <si>
    <t xml:space="preserve">RTF mean (thời gian xử lý / thời lượng audio)</t>
  </si>
  <si>
    <t xml:space="preserve">Tốc độ so với thời gian thực</t>
  </si>
  <si>
    <t xml:space="preserve">x</t>
  </si>
  <si>
    <t xml:space="preserve">vd 6.2 = xử lý nhanh gấp 6.2 lần thời lượng audio</t>
  </si>
  <si>
    <t xml:space="preserve">Số inference cho 1 phút audio</t>
  </si>
  <si>
    <t xml:space="preserve">lần</t>
  </si>
  <si>
    <t xml:space="preserve">Bằng 60 / hop</t>
  </si>
  <si>
    <t xml:space="preserve">Thời gian init (load model + cấp phát)</t>
  </si>
  <si>
    <t xml:space="preserve">Ước tính thời gian xử lý file 1 giờ</t>
  </si>
  <si>
    <t xml:space="preserve">Số đo thật ở sheet File dai va batch</t>
  </si>
  <si>
    <t xml:space="preserve">D. CPU &amp; năng lượng</t>
  </si>
  <si>
    <t xml:space="preserve">CPU trung bình trong lúc xử lý (% của 1 core)</t>
  </si>
  <si>
    <t xml:space="preserve">Nhiều thread có thể &gt; 100%</t>
  </si>
  <si>
    <t xml:space="preserve">Thời gian CPU cho 1 phút audio (cộng mọi thread)</t>
  </si>
  <si>
    <t xml:space="preserve">user + sys từ /proc/&lt;pid&gt;/stat hoặc getrusage</t>
  </si>
  <si>
    <t xml:space="preserve">Công suất khi đang xử lý</t>
  </si>
  <si>
    <t xml:space="preserve">mW</t>
  </si>
  <si>
    <t xml:space="preserve">Power monitor / Battery Historian</t>
  </si>
  <si>
    <t xml:space="preserve">Công suất idle (cùng điều kiện)</t>
  </si>
  <si>
    <t xml:space="preserve">Đo ngay trước/sau lần chạy</t>
  </si>
  <si>
    <t xml:space="preserve">Công suất tăng thêm do lib</t>
  </si>
  <si>
    <t xml:space="preserve">Thời gian xử lý 1 phút audio</t>
  </si>
  <si>
    <t xml:space="preserve">Từ mục C</t>
  </si>
  <si>
    <t xml:space="preserve">Công suất tăng thêm × thời gian xử lý</t>
  </si>
  <si>
    <t xml:space="preserve">Năng lượng cho 1 giờ audio</t>
  </si>
  <si>
    <t xml:space="preserve">E. Bộ nhớ cố định &amp; kích thước</t>
  </si>
  <si>
    <t xml:space="preserve">RSS trước khi init</t>
  </si>
  <si>
    <t xml:space="preserve">/proc/&lt;pid&gt;/status (VmRSS)</t>
  </si>
  <si>
    <t xml:space="preserve">RSS sau init (model đã load)</t>
  </si>
  <si>
    <t xml:space="preserve">RSS do init</t>
  </si>
  <si>
    <t xml:space="preserve">Phần cố định, không phụ thuộc độ dài file</t>
  </si>
  <si>
    <t xml:space="preserve">Bộ nhớ runtime / tensor arena</t>
  </si>
  <si>
    <t xml:space="preserve">Kích thước file model</t>
  </si>
  <si>
    <t xml:space="preserve">Kích thước lib.so (stripped)</t>
  </si>
  <si>
    <t xml:space="preserve">bloaty để xem phần nào chiếm dung lượng</t>
  </si>
  <si>
    <t xml:space="preserve">Peak RSS theo độ dài file và theo số file đã xử lý: xem sheet File dai va batch.</t>
  </si>
  <si>
    <t xml:space="preserve">Biên segment &amp; timestamp</t>
  </si>
  <si>
    <t xml:space="preserve">Chạy lib trên PCM đã decode. Vàng = bạn điền; xám = ví dụ minh họa; chữ đen = công thức.</t>
  </si>
  <si>
    <t xml:space="preserve">A. Độ chính xác biên trên tập nhãn mịn (10–20 ms)</t>
  </si>
  <si>
    <t xml:space="preserve">Thời lượng tập nhãn mịn</t>
  </si>
  <si>
    <t xml:space="preserve">phút</t>
  </si>
  <si>
    <t xml:space="preserve">Khoảng 30–60 phút, đủ category</t>
  </si>
  <si>
    <t xml:space="preserve">Số segment</t>
  </si>
  <si>
    <t xml:space="preserve">Nên ≥ 200</t>
  </si>
  <si>
    <t xml:space="preserve">Δonset median (âm = sớm)</t>
  </si>
  <si>
    <t xml:space="preserve">Biên dự đoán − biên GT</t>
  </si>
  <si>
    <t xml:space="preserve">|Δonset| p95</t>
  </si>
  <si>
    <t xml:space="preserve">Δoffset median (dương = trễ)</t>
  </si>
  <si>
    <t xml:space="preserve">Pad sau và merge gap đẩy offset về dương</t>
  </si>
  <si>
    <t xml:space="preserve">|Δoffset| p95</t>
  </si>
  <si>
    <t xml:space="preserve">Tỉ lệ biên có |Δ| ≤ 100 ms</t>
  </si>
  <si>
    <t xml:space="preserve">B. Chất lượng theo vị trí trong file (vùng biên có ít cửa sổ phủ hơn)</t>
  </si>
  <si>
    <t xml:space="preserve">Vị trí</t>
  </si>
  <si>
    <t xml:space="preserve">Recall baseline</t>
  </si>
  <si>
    <t xml:space="preserve">FAR baseline</t>
  </si>
  <si>
    <t xml:space="preserve">Recall candidate</t>
  </si>
  <si>
    <t xml:space="preserve">FAR candidate</t>
  </si>
  <si>
    <t xml:space="preserve">Đầu file (0–1 s)</t>
  </si>
  <si>
    <t xml:space="preserve">Khoảng 0.44 s đầu có ít cửa sổ phủ</t>
  </si>
  <si>
    <t xml:space="preserve">Giữa file</t>
  </si>
  <si>
    <t xml:space="preserve">Tham chiếu</t>
  </si>
  <si>
    <t xml:space="preserve">Cuối file (1 s cuối)</t>
  </si>
  <si>
    <t xml:space="preserve">Phần dư cuối file (&lt; 0.96 s, không đủ 1 cửa sổ)</t>
  </si>
  <si>
    <t xml:space="preserve">Phụ thuộc cách xử lý cửa sổ cuối trong Snapshot</t>
  </si>
  <si>
    <t xml:space="preserve">Chênh recall cuối file so với giữa file</t>
  </si>
  <si>
    <t xml:space="preserve">Âm nhiều = mất speech ở cuối file</t>
  </si>
  <si>
    <t xml:space="preserve">C. Căn chỉnh thời gian của lib</t>
  </si>
  <si>
    <t xml:space="preserve">Lệch đỉnh F1 khi quét shift ±1 s (bước 0.08 s)</t>
  </si>
  <si>
    <t xml:space="preserve">Như mục 5e của Kiem tra du lieu, nhưng chạy trên output lib</t>
  </si>
  <si>
    <t xml:space="preserve">Số file có số cửa sổ khác công thức</t>
  </si>
  <si>
    <t xml:space="preserve">Kỳ vọng 0; công thức theo cách xử lý cửa sổ cuối</t>
  </si>
  <si>
    <t xml:space="preserve">Số segment vượt [0, thời lượng file]</t>
  </si>
  <si>
    <t xml:space="preserve">Kỳ vọng 0; pad phải bị cắt tại biên</t>
  </si>
  <si>
    <t xml:space="preserve">File dài, batch nhiều file và false alarm theo giờ</t>
  </si>
  <si>
    <t xml:space="preserve">Điền liên tục từ trên xuống, không bỏ dòng (công thức lấy dòng cuối có số liệu). Vàng = bạn điền; xám = ví dụ minh họa.</t>
  </si>
  <si>
    <t xml:space="preserve">A. Theo độ dài file</t>
  </si>
  <si>
    <t xml:space="preserve">Độ dài file (phút)</t>
  </si>
  <si>
    <t xml:space="preserve">Thời gian xử lý baseline (s)</t>
  </si>
  <si>
    <t xml:space="preserve">RTF baseline</t>
  </si>
  <si>
    <t xml:space="preserve">Peak RSS baseline (MB)</t>
  </si>
  <si>
    <t xml:space="preserve">Thời gian xử lý candidate (s)</t>
  </si>
  <si>
    <t xml:space="preserve">RTF candidate</t>
  </si>
  <si>
    <t xml:space="preserve">Peak RSS candidate (MB)</t>
  </si>
  <si>
    <t xml:space="preserve">Có đủ RAM không? Có lỗi không?</t>
  </si>
  <si>
    <t xml:space="preserve">B. Batch nhiều file liên tiếp trên cùng instance</t>
  </si>
  <si>
    <t xml:space="preserve">Sau N file</t>
  </si>
  <si>
    <t xml:space="preserve">RSS baseline (MB)</t>
  </si>
  <si>
    <t xml:space="preserve">Thời gian TB/file baseline (s)</t>
  </si>
  <si>
    <t xml:space="preserve">Số file lỗi baseline</t>
  </si>
  <si>
    <t xml:space="preserve">RSS candidate (MB)</t>
  </si>
  <si>
    <t xml:space="preserve">Thời gian TB/file candidate (s)</t>
  </si>
  <si>
    <t xml:space="preserve">Số file lỗi candidate</t>
  </si>
  <si>
    <t xml:space="preserve">Sau init, chưa xử lý file</t>
  </si>
  <si>
    <t xml:space="preserve">C. Tổng hợp (tự tính từ mục A, B)</t>
  </si>
  <si>
    <t xml:space="preserve">KL baseline</t>
  </si>
  <si>
    <t xml:space="preserve">KL candidate</t>
  </si>
  <si>
    <t xml:space="preserve">PCM 16 kHz mono float32 ≈ 3.84 MB/phút; cao hơn nhiều = giữ cả input gốc hoặc bản sao thừa</t>
  </si>
  <si>
    <t xml:space="preserve">Lấy dòng có độ dài = 60</t>
  </si>
  <si>
    <t xml:space="preserve">RTF file dài nhất / RTF file 1 phút</t>
  </si>
  <si>
    <t xml:space="preserve">&gt; 1 = thời gian tăng nhanh hơn tuyến tính</t>
  </si>
  <si>
    <t xml:space="preserve">RSS tăng mỗi 100 file (từ sau file thứ 1)</t>
  </si>
  <si>
    <t xml:space="preserve">Dương kéo dài = nghi rò rỉ giữa các file</t>
  </si>
  <si>
    <t xml:space="preserve">Số file lỗi sau toàn bộ batch</t>
  </si>
  <si>
    <t xml:space="preserve">D. False alarm trên audio không lời dài</t>
  </si>
  <si>
    <t xml:space="preserve">Loại audio</t>
  </si>
  <si>
    <t xml:space="preserve">Thời lượng (giờ)</t>
  </si>
  <si>
    <t xml:space="preserve">#FA baseline</t>
  </si>
  <si>
    <t xml:space="preserve">FA/giờ baseline</t>
  </si>
  <si>
    <t xml:space="preserve">#FA candidate</t>
  </si>
  <si>
    <t xml:space="preserve">FA/giờ candidate</t>
  </si>
  <si>
    <t xml:space="preserve">Thời lượng FA baseline (s)</t>
  </si>
  <si>
    <t xml:space="preserve">% thời gian FA baseline</t>
  </si>
  <si>
    <t xml:space="preserve">Nhạc có lời (hát)</t>
  </si>
  <si>
    <t xml:space="preserve">Nhạc không lời</t>
  </si>
  <si>
    <t xml:space="preserve">Tiếng cười / vỗ tay / đám đông</t>
  </si>
  <si>
    <t xml:space="preserve">Giao thông / đường phố</t>
  </si>
  <si>
    <t xml:space="preserve">Văn phòng / quạt / điều hòa</t>
  </si>
  <si>
    <t xml:space="preserve">Bếp / nước chảy / va chạm</t>
  </si>
  <si>
    <t xml:space="preserve">Im lặng số / nhiễu nền thấp</t>
  </si>
  <si>
    <t xml:space="preserve">Hát có tính là speech hay không tùy định nghĩa của bạn – ghi rõ để FA/giờ so sánh được giữa các lần đo.</t>
  </si>
  <si>
    <t xml:space="preserve">Robustness – chất lượng theo biến đổi input</t>
  </si>
  <si>
    <t xml:space="preserve">Sinh biến thể từ tập test (không dùng dev). Nhóm Codec: nén bằng encoder, decode bằng decoder của app, rồi đưa PCM vào lib. Vàng = bạn điền; xám = ví dụ.</t>
  </si>
  <si>
    <t xml:space="preserve">Biến đổi</t>
  </si>
  <si>
    <t xml:space="preserve">Mức</t>
  </si>
  <si>
    <t xml:space="preserve">F1 baseline</t>
  </si>
  <si>
    <t xml:space="preserve">MR baseline</t>
  </si>
  <si>
    <t xml:space="preserve">Suy giảm F1 so với gốc</t>
  </si>
  <si>
    <t xml:space="preserve">F1 candidate</t>
  </si>
  <si>
    <t xml:space="preserve">MR candidate</t>
  </si>
  <si>
    <t xml:space="preserve">ΔF1 (cand − base)</t>
  </si>
  <si>
    <t xml:space="preserve">Gốc</t>
  </si>
  <si>
    <t xml:space="preserve">Không biến đổi</t>
  </si>
  <si>
    <t xml:space="preserve">Mức tín hiệu</t>
  </si>
  <si>
    <t xml:space="preserve">Gain</t>
  </si>
  <si>
    <t xml:space="preserve">-30 dB</t>
  </si>
  <si>
    <t xml:space="preserve">-20 dB</t>
  </si>
  <si>
    <t xml:space="preserve">-10 dB</t>
  </si>
  <si>
    <t xml:space="preserve">Gain (có clipping)</t>
  </si>
  <si>
    <t xml:space="preserve">+12 dB</t>
  </si>
  <si>
    <t xml:space="preserve">DC offset</t>
  </si>
  <si>
    <t xml:space="preserve">+0.1</t>
  </si>
  <si>
    <t xml:space="preserve">Nhiễu</t>
  </si>
  <si>
    <t xml:space="preserve">Nhiễu cộng (SNR)</t>
  </si>
  <si>
    <t xml:space="preserve">20 dB</t>
  </si>
  <si>
    <t xml:space="preserve">10 dB</t>
  </si>
  <si>
    <t xml:space="preserve">5 dB</t>
  </si>
  <si>
    <t xml:space="preserve">0 dB</t>
  </si>
  <si>
    <t xml:space="preserve">Kênh truyền</t>
  </si>
  <si>
    <t xml:space="preserve">Vang phòng (RT60)</t>
  </si>
  <si>
    <t xml:space="preserve">0.3 s</t>
  </si>
  <si>
    <t xml:space="preserve">0.8 s</t>
  </si>
  <si>
    <t xml:space="preserve">Far-field</t>
  </si>
  <si>
    <t xml:space="preserve">~2 m</t>
  </si>
  <si>
    <t xml:space="preserve">Sample rate</t>
  </si>
  <si>
    <t xml:space="preserve">Sample rate đầu vào (lib tự resample)</t>
  </si>
  <si>
    <t xml:space="preserve">8 kHz</t>
  </si>
  <si>
    <t xml:space="preserve">Sample rate đầu vào</t>
  </si>
  <si>
    <t xml:space="preserve">22.05 kHz</t>
  </si>
  <si>
    <t xml:space="preserve">44.1 kHz</t>
  </si>
  <si>
    <t xml:space="preserve">48 kHz</t>
  </si>
  <si>
    <t xml:space="preserve">Số kênh</t>
  </si>
  <si>
    <t xml:space="preserve">Stereo, lời chỉ ở một kênh</t>
  </si>
  <si>
    <t xml:space="preserve">Kiểm tra downmix không làm mất lời</t>
  </si>
  <si>
    <t xml:space="preserve">Stereo, kênh có lời thấp hơn</t>
  </si>
  <si>
    <t xml:space="preserve">-12 dB</t>
  </si>
  <si>
    <t xml:space="preserve">Codec</t>
  </si>
  <si>
    <t xml:space="preserve">MP3</t>
  </si>
  <si>
    <t xml:space="preserve">128 kbps</t>
  </si>
  <si>
    <t xml:space="preserve">64 kbps</t>
  </si>
  <si>
    <t xml:space="preserve">32 kbps</t>
  </si>
  <si>
    <t xml:space="preserve">AAC-LC trong mp4</t>
  </si>
  <si>
    <t xml:space="preserve">HE-AAC trong mp4</t>
  </si>
  <si>
    <t xml:space="preserve">48 kbps</t>
  </si>
  <si>
    <t xml:space="preserve">Đặc biệt</t>
  </si>
  <si>
    <t xml:space="preserve">Digital silence</t>
  </si>
  <si>
    <t xml:space="preserve">toàn 0</t>
  </si>
  <si>
    <t xml:space="preserve">Chỉ xét FAR (không có speech)</t>
  </si>
  <si>
    <t xml:space="preserve">F1 thấp nhất – baseline</t>
  </si>
  <si>
    <t xml:space="preserve">Điều kiện</t>
  </si>
  <si>
    <t xml:space="preserve">F1 thấp nhất – candidate</t>
  </si>
  <si>
    <t xml:space="preserve">Tô vàng: suy giảm F1 so với gốc &gt; 0.05. Tô đỏ: candidate kém baseline hơn 0.01 F1.</t>
  </si>
  <si>
    <t xml:space="preserve">Test chức năng lib.so (input là PCM đã decode)</t>
  </si>
  <si>
    <t xml:space="preserve">Chạy cho mỗi build. Kết quả chọn từ danh sách. Vàng = bạn điền.</t>
  </si>
  <si>
    <t xml:space="preserve">Test</t>
  </si>
  <si>
    <t xml:space="preserve">Cách chạy / input</t>
  </si>
  <si>
    <t xml:space="preserve">Kỳ vọng</t>
  </si>
  <si>
    <t xml:space="preserve">Ticket / ghi chú</t>
  </si>
  <si>
    <t xml:space="preserve">T01</t>
  </si>
  <si>
    <t xml:space="preserve">Input biên</t>
  </si>
  <si>
    <t xml:space="preserve">Buffer rỗng (0 mẫu)</t>
  </si>
  <si>
    <t xml:space="preserve">Trả mã lỗi hoặc 0 segment, không crash</t>
  </si>
  <si>
    <t xml:space="preserve">Chưa chạy</t>
  </si>
  <si>
    <t xml:space="preserve">T02</t>
  </si>
  <si>
    <t xml:space="preserve">Audio ngắn hơn 1 cửa sổ</t>
  </si>
  <si>
    <t xml:space="preserve">0.5 s có tiếng nói</t>
  </si>
  <si>
    <t xml:space="preserve">Đúng hành vi đã tài liệu hóa (pad rồi chạy, hoặc trả rỗng)</t>
  </si>
  <si>
    <t xml:space="preserve">T03</t>
  </si>
  <si>
    <t xml:space="preserve">Audio dài đúng 0.96 s</t>
  </si>
  <si>
    <t xml:space="preserve">15 360 mẫu ở 16 kHz</t>
  </si>
  <si>
    <t xml:space="preserve">Đúng 1 cửa sổ, timestamp không lệch</t>
  </si>
  <si>
    <t xml:space="preserve">T04</t>
  </si>
  <si>
    <t xml:space="preserve">Cửa sổ cuối không đủ 0.96 s</t>
  </si>
  <si>
    <t xml:space="preserve">File 10.5 s, tiếng nói ở 10.1–10.5 s</t>
  </si>
  <si>
    <t xml:space="preserve">Tiếng nói cuối được phát hiện, hoặc hành vi đúng như tài liệu</t>
  </si>
  <si>
    <t xml:space="preserve">T05</t>
  </si>
  <si>
    <t xml:space="preserve">Số cửa sổ đúng công thức</t>
  </si>
  <si>
    <t xml:space="preserve">Nhiều độ dài ngẫu nhiên</t>
  </si>
  <si>
    <t xml:space="preserve">Khớp công thức theo cách xử lý cửa sổ cuối</t>
  </si>
  <si>
    <t xml:space="preserve">T06</t>
  </si>
  <si>
    <t xml:space="preserve">NaN / Inf trong input</t>
  </si>
  <si>
    <t xml:space="preserve">Chèn NaN vào giữa file</t>
  </si>
  <si>
    <t xml:space="preserve">Không crash; báo lỗi hoặc thay 0</t>
  </si>
  <si>
    <t xml:space="preserve">T07</t>
  </si>
  <si>
    <t xml:space="preserve">Biên độ ngoài [-1, 1] / int16 full scale</t>
  </si>
  <si>
    <t xml:space="preserve">Sóng vuông full scale</t>
  </si>
  <si>
    <t xml:space="preserve">Được clip/chuẩn hóa, không tràn số</t>
  </si>
  <si>
    <t xml:space="preserve">T08</t>
  </si>
  <si>
    <t xml:space="preserve">Digital silence dài</t>
  </si>
  <si>
    <t xml:space="preserve">1 giờ toàn 0</t>
  </si>
  <si>
    <t xml:space="preserve">0 segment</t>
  </si>
  <si>
    <t xml:space="preserve">T09</t>
  </si>
  <si>
    <t xml:space="preserve">Định dạng input</t>
  </si>
  <si>
    <t xml:space="preserve">Các sample rate hỗ trợ</t>
  </si>
  <si>
    <t xml:space="preserve">8; 11.025; 16; 22.05; 32; 44.1; 48 kHz</t>
  </si>
  <si>
    <t xml:space="preserve">Chạy đúng; timestamp tính theo thời gian thật</t>
  </si>
  <si>
    <t xml:space="preserve">T10</t>
  </si>
  <si>
    <t xml:space="preserve">Sample rate không hỗ trợ</t>
  </si>
  <si>
    <t xml:space="preserve">vd 7 kHz, 192 kHz</t>
  </si>
  <si>
    <t xml:space="preserve">Trả mã lỗi rõ ràng</t>
  </si>
  <si>
    <t xml:space="preserve">T11</t>
  </si>
  <si>
    <t xml:space="preserve">Stereo hai kênh giống nhau</t>
  </si>
  <si>
    <t xml:space="preserve">Kết quả giống hệt input mono</t>
  </si>
  <si>
    <t xml:space="preserve">T12</t>
  </si>
  <si>
    <t xml:space="preserve">Lời chỉ ở một kênh</t>
  </si>
  <si>
    <t xml:space="preserve">Kênh còn lại im lặng</t>
  </si>
  <si>
    <t xml:space="preserve">Vẫn phát hiện tiếng nói</t>
  </si>
  <si>
    <t xml:space="preserve">T13</t>
  </si>
  <si>
    <t xml:space="preserve">Hai kênh ngược pha (L = −R)</t>
  </si>
  <si>
    <t xml:space="preserve">Ghi nhận hành vi: trung bình cộng triệt tiêu → cần quyết định có xử lý không</t>
  </si>
  <si>
    <t xml:space="preserve">T14</t>
  </si>
  <si>
    <t xml:space="preserve">Đa kênh (5.1)</t>
  </si>
  <si>
    <t xml:space="preserve">Nếu API cho phép</t>
  </si>
  <si>
    <t xml:space="preserve">Downmix đúng quy tắc, hoặc báo lỗi rõ ràng</t>
  </si>
  <si>
    <t xml:space="preserve">T15</t>
  </si>
  <si>
    <t xml:space="preserve">Kiểu mẫu int16 và float32</t>
  </si>
  <si>
    <t xml:space="preserve">Nếu API hỗ trợ cả hai</t>
  </si>
  <si>
    <t xml:space="preserve">Kết quả như nhau</t>
  </si>
  <si>
    <t xml:space="preserve">T16</t>
  </si>
  <si>
    <t xml:space="preserve">Hợp đồng output</t>
  </si>
  <si>
    <t xml:space="preserve">Segment sắp xếp, không chồng nhau</t>
  </si>
  <si>
    <t xml:space="preserve">Toàn bộ test set</t>
  </si>
  <si>
    <t xml:space="preserve">Luôn đúng</t>
  </si>
  <si>
    <t xml:space="preserve">T17</t>
  </si>
  <si>
    <t xml:space="preserve">Segment nằm trong [0, thời lượng]</t>
  </si>
  <si>
    <t xml:space="preserve">Tiếng nói sát đầu và cuối file</t>
  </si>
  <si>
    <t xml:space="preserve">Pad bị cắt tại biên; không âm, không vượt</t>
  </si>
  <si>
    <t xml:space="preserve">T18</t>
  </si>
  <si>
    <t xml:space="preserve">Không còn segment ngắn hơn ngưỡng drop</t>
  </si>
  <si>
    <t xml:space="preserve">Sau toàn bộ hậu xử lý</t>
  </si>
  <si>
    <t xml:space="preserve">Đúng theo thứ tự hậu xử lý đã chốt</t>
  </si>
  <si>
    <t xml:space="preserve">T19</t>
  </si>
  <si>
    <t xml:space="preserve">Kết quả tất định</t>
  </si>
  <si>
    <t xml:space="preserve">Chạy 2 lần; đổi số thread</t>
  </si>
  <si>
    <t xml:space="preserve">Giống hệt</t>
  </si>
  <si>
    <t xml:space="preserve">T20</t>
  </si>
  <si>
    <t xml:space="preserve">API</t>
  </si>
  <si>
    <t xml:space="preserve">Gọi process trước init / sau deinit</t>
  </si>
  <si>
    <t xml:space="preserve">Trả mã lỗi, không crash</t>
  </si>
  <si>
    <t xml:space="preserve">T21</t>
  </si>
  <si>
    <t xml:space="preserve">Tham số sai (NULL, độ dài âm)</t>
  </si>
  <si>
    <t xml:space="preserve">T22</t>
  </si>
  <si>
    <t xml:space="preserve">Nhiều file liên tiếp trên cùng instance</t>
  </si>
  <si>
    <t xml:space="preserve">Đảo thứ tự file</t>
  </si>
  <si>
    <t xml:space="preserve">Kết quả mỗi file không phụ thuộc file trước</t>
  </si>
  <si>
    <t xml:space="preserve">T23</t>
  </si>
  <si>
    <t xml:space="preserve">Init/deinit lặp 1000 lần</t>
  </si>
  <si>
    <t xml:space="preserve">RSS không tăng; ASan/valgrind sạch</t>
  </si>
  <si>
    <t xml:space="preserve">T24</t>
  </si>
  <si>
    <t xml:space="preserve">Đa luồng</t>
  </si>
  <si>
    <t xml:space="preserve">N instance song song trên N thread</t>
  </si>
  <si>
    <t xml:space="preserve">N = số core</t>
  </si>
  <si>
    <t xml:space="preserve">Kết quả mỗi instance giống chạy đơn</t>
  </si>
  <si>
    <t xml:space="preserve">T25</t>
  </si>
  <si>
    <t xml:space="preserve">Tài nguyên</t>
  </si>
  <si>
    <t xml:space="preserve">ASan / UBSan trên toàn bộ test set</t>
  </si>
  <si>
    <t xml:space="preserve">0 lỗi</t>
  </si>
  <si>
    <t xml:space="preserve">T26</t>
  </si>
  <si>
    <t xml:space="preserve">Bộ nhớ trả lại sau mỗi file</t>
  </si>
  <si>
    <t xml:space="preserve">heaptrack</t>
  </si>
  <si>
    <t xml:space="preserve">RSS quay về mức sau init</t>
  </si>
  <si>
    <t xml:space="preserve">T27</t>
  </si>
  <si>
    <t xml:space="preserve">File dài nhất theo hợp đồng input</t>
  </si>
  <si>
    <t xml:space="preserve">Độ dài tối đa trong Snapshot</t>
  </si>
  <si>
    <t xml:space="preserve">Chạy xong, không tràn RAM</t>
  </si>
  <si>
    <t xml:space="preserve">T28</t>
  </si>
  <si>
    <t xml:space="preserve">Build</t>
  </si>
  <si>
    <t xml:space="preserve">Symbol export chỉ gồm API public</t>
  </si>
  <si>
    <t xml:space="preserve">nm -D lib.so</t>
  </si>
  <si>
    <t xml:space="preserve">Chỉ các hàm API</t>
  </si>
  <si>
    <t xml:space="preserve">T29</t>
  </si>
  <si>
    <t xml:space="preserve">Build &amp; test đủ ABI đích</t>
  </si>
  <si>
    <t xml:space="preserve">arm64-v8a, armeabi-v7a, x86_64</t>
  </si>
  <si>
    <t xml:space="preserve">Pass trên mọi ABI</t>
  </si>
  <si>
    <t xml:space="preserve">T30</t>
  </si>
  <si>
    <t xml:space="preserve">Tương thích API/ABI với bản trước</t>
  </si>
  <si>
    <t xml:space="preserve">abi-compliance-checker</t>
  </si>
  <si>
    <t xml:space="preserve">Không vỡ ABI, hoặc tăng major version</t>
  </si>
  <si>
    <t xml:space="preserve">Đường cong chất lượng – chi phí theo hop (tùy chọn)</t>
  </si>
  <si>
    <t xml:space="preserve">Mỗi hop phải tune lại pad / drop / merge / ngưỡng trên dev trước khi đo trên test. Vàng = bạn điền; xám = ví dụ.</t>
  </si>
  <si>
    <t xml:space="preserve">Inference / phút audio</t>
  </si>
  <si>
    <t xml:space="preserve">Overlap</t>
  </si>
  <si>
    <t xml:space="preserve">Hậu xử lý tune lại?</t>
  </si>
  <si>
    <t xml:space="preserve">|Δonset| p95 (ms)</t>
  </si>
  <si>
    <t xml:space="preserve">Thời gian CPU / phút audio (s)</t>
  </si>
  <si>
    <t xml:space="preserve">Năng lượng (J / phút audio)</t>
  </si>
  <si>
    <t xml:space="preserve">ΔF1 so với hop đầu</t>
  </si>
  <si>
    <t xml:space="preserve">Giảm RTF so với hop đầu</t>
  </si>
  <si>
    <t xml:space="preserve">H1 – baseline</t>
  </si>
  <si>
    <t xml:space="preserve">Có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</si>
  <si>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</si>
  <si>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</si>
  <si>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</si>
  <si>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</si>
  <si>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</si>
  <si>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Tích hợp decode mp3/mp4 (phía app, ngoài lib)</t>
  </si>
  <si>
    <t xml:space="preserve">Không tính vào gate của lib, nhưng lỗi ở đây làm lệch timestamp và chất lượng end-to-end. Vàng = bạn điền; xám = ví dụ.</t>
  </si>
  <si>
    <t xml:space="preserve">Decoder &amp; version</t>
  </si>
  <si>
    <t xml:space="preserve">MP3: LAME header; AAC: edit list / iTunSMPB</t>
  </si>
  <si>
    <t xml:space="preserve">Quy tắc chọn track khi mp4 có nhiều track audio</t>
  </si>
  <si>
    <t xml:space="preserve">Quy ước timeline khi audio mp4 bắt đầu trễ hơn video</t>
  </si>
  <si>
    <t xml:space="preserve">Timestamp segment theo timeline audio hay video?</t>
  </si>
  <si>
    <t xml:space="preserve">Định dạng PCM đưa vào lib</t>
  </si>
  <si>
    <t xml:space="preserve">Phải khớp hợp đồng input trong Snapshot</t>
  </si>
  <si>
    <t xml:space="preserve">B. Độ lệch timestamp và thời lượng sau decode</t>
  </si>
  <si>
    <t xml:space="preserve">Cách đo: nén từ wav gốc, decode bằng decoder của app, cross-correlation với wav gốc để lấy lệch đầu; so thời lượng.</t>
  </si>
  <si>
    <t xml:space="preserve">Ngưỡng |lệch đầu| cho phép</t>
  </si>
  <si>
    <t xml:space="preserve">Ngưỡng |chênh thời lượng| cho phép</t>
  </si>
  <si>
    <t xml:space="preserve">Định dạng</t>
  </si>
  <si>
    <t xml:space="preserve">Encoder / nguồn</t>
  </si>
  <si>
    <t xml:space="preserve">Lệch đầu (ms)</t>
  </si>
  <si>
    <t xml:space="preserve">Chênh thời lượng (ms)</t>
  </si>
  <si>
    <t xml:space="preserve">D01</t>
  </si>
  <si>
    <t xml:space="preserve">MP3 CBR 128 kbps</t>
  </si>
  <si>
    <t xml:space="preserve">LAME</t>
  </si>
  <si>
    <t xml:space="preserve">D02</t>
  </si>
  <si>
    <t xml:space="preserve">MP3 VBR</t>
  </si>
  <si>
    <t xml:space="preserve">D03</t>
  </si>
  <si>
    <t xml:space="preserve">MP3 không có header gapless</t>
  </si>
  <si>
    <t xml:space="preserve">encoder khác</t>
  </si>
  <si>
    <t xml:space="preserve">D04</t>
  </si>
  <si>
    <t xml:space="preserve">AAC-LC 128 kbps trong mp4</t>
  </si>
  <si>
    <t xml:space="preserve">ffmpeg</t>
  </si>
  <si>
    <t xml:space="preserve">D05</t>
  </si>
  <si>
    <t xml:space="preserve">Apple / iTunes</t>
  </si>
  <si>
    <t xml:space="preserve">D06</t>
  </si>
  <si>
    <t xml:space="preserve">HE-AAC 48 kbps trong mp4</t>
  </si>
  <si>
    <t xml:space="preserve">D07</t>
  </si>
  <si>
    <t xml:space="preserve">mp4 có edit list (audio bắt đầu trễ)</t>
  </si>
  <si>
    <t xml:space="preserve">D08</t>
  </si>
  <si>
    <t xml:space="preserve">mp4 quay từ điện thoại</t>
  </si>
  <si>
    <t xml:space="preserve">Android / iOS</t>
  </si>
  <si>
    <t xml:space="preserve">C. Checklist định dạng và file lỗi</t>
  </si>
  <si>
    <t xml:space="preserve">Tình huống</t>
  </si>
  <si>
    <t xml:space="preserve">Kết quả</t>
  </si>
  <si>
    <t xml:space="preserve">I01</t>
  </si>
  <si>
    <t xml:space="preserve">Mono / stereo / 5.1</t>
  </si>
  <si>
    <t xml:space="preserve">Decode đúng số kênh; truyền đúng layout cho lib</t>
  </si>
  <si>
    <t xml:space="preserve">I02</t>
  </si>
  <si>
    <t xml:space="preserve">Sample rate 8–48 kHz</t>
  </si>
  <si>
    <t xml:space="preserve">Truyền đúng sample rate cho lib</t>
  </si>
  <si>
    <t xml:space="preserve">I03</t>
  </si>
  <si>
    <t xml:space="preserve">MP3 VBR (có / không có header Xing)</t>
  </si>
  <si>
    <t xml:space="preserve">Thời lượng đúng</t>
  </si>
  <si>
    <t xml:space="preserve">I04</t>
  </si>
  <si>
    <t xml:space="preserve">mp4 nhiều track audio</t>
  </si>
  <si>
    <t xml:space="preserve">Chọn đúng track theo quy tắc ở mục A</t>
  </si>
  <si>
    <t xml:space="preserve">I05</t>
  </si>
  <si>
    <t xml:space="preserve">mp4 không có track audio</t>
  </si>
  <si>
    <t xml:space="preserve">Báo lỗi rõ ràng, không gọi lib</t>
  </si>
  <si>
    <t xml:space="preserve">I06</t>
  </si>
  <si>
    <t xml:space="preserve">File bị cắt cụt</t>
  </si>
  <si>
    <t xml:space="preserve">Decode phần còn lại, không crash</t>
  </si>
  <si>
    <t xml:space="preserve">I07</t>
  </si>
  <si>
    <t xml:space="preserve">File hỏng header / không phải audio</t>
  </si>
  <si>
    <t xml:space="preserve">Báo lỗi rõ ràng</t>
  </si>
  <si>
    <t xml:space="preserve">I08</t>
  </si>
  <si>
    <t xml:space="preserve">Tag ID3 / metadata lớn, ảnh bìa</t>
  </si>
  <si>
    <t xml:space="preserve">Không ảnh hưởng timestamp</t>
  </si>
  <si>
    <t xml:space="preserve">I09</t>
  </si>
  <si>
    <t xml:space="preserve">File rất dài (≥ 3 giờ)</t>
  </si>
  <si>
    <t xml:space="preserve">Không tràn RAM khi decode và khi đưa vào lib</t>
  </si>
  <si>
    <t xml:space="preserve">I10</t>
  </si>
  <si>
    <t xml:space="preserve">Audio mp4 bắt đầu trễ hơn video</t>
  </si>
  <si>
    <t xml:space="preserve">Timestamp đúng theo quy ước ở mục A</t>
  </si>
  <si>
    <t xml:space="preserve">D. Chi phí decode (tùy chọn)</t>
  </si>
  <si>
    <t xml:space="preserve">Giá trị</t>
  </si>
  <si>
    <t xml:space="preserve">Thời gian decode cho 1 phút audio</t>
  </si>
  <si>
    <t xml:space="preserve">mp3 và mp4 đo riêng nếu khác nhiều</t>
  </si>
  <si>
    <t xml:space="preserve">Peak RAM khi decode file 60 phút</t>
  </si>
  <si>
    <t xml:space="preserve">Thời gian decode / thời gian lib</t>
  </si>
  <si>
    <t xml:space="preserve">So với Performance mục C</t>
  </si>
  <si>
    <t xml:space="preserve">Mục B</t>
  </si>
  <si>
    <t xml:space="preserve">Mục C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</si>
</sst>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%"/>
    <numFmt numFmtId="166" formatCode="General"/>
    <numFmt numFmtId="167" formatCode="dd/mm/yyyy"/>
    <numFmt numFmtId="168" formatCode="0.000"/>
    <numFmt numFmtId="169" formatCode="\+0.0%;\-0.0%;0.0%"/>
    <numFmt numFmtId="170" formatCode="0.0%"/>
    <numFmt numFmtId="171" formatCode="0.0000"/>
    <numFmt numFmtId="172" formatCode="0"/>
    <numFmt numFmtId="173" formatCode="0.00"/>
    <numFmt numFmtId="174" formatCode="0.00%"/>
    <numFmt numFmtId="175" formatCode="0.0"/>
    <numFmt numFmtId="176" formatCode="#,##0.0"/>
    <numFmt numFmtId="177" formatCode="#,##0"/>
    <numFmt numFmtId="178" formatCode="0.0E+00"/>
    <numFmt numFmtId="179" formatCode="\+0;\-0;0"/>
    <numFmt numFmtId="180" formatCode="\+0.000;\-0.000;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6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6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7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7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8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8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9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0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8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.75" hidden="false" customHeight="true" outlineLevel="0" collapsed="false">
      <c r="A4" s="4" t="s">
        <v>2</v>
      </c>
      <c r="B4" s="5"/>
    </row>
    <row r="5" customFormat="false" ht="15.75" hidden="false" customHeight="true" outlineLevel="0" collapsed="false">
      <c r="A5" s="6" t="s">
        <v>3</v>
      </c>
      <c r="B5" s="7" t="s">
        <v>4</v>
      </c>
    </row>
    <row r="6" customFormat="false" ht="15.75" hidden="false" customHeight="true" outlineLevel="0" collapsed="false">
      <c r="A6" s="6" t="s">
        <v>5</v>
      </c>
      <c r="B6" s="8" t="s">
        <v>6</v>
      </c>
    </row>
    <row r="7" customFormat="false" ht="15.75" hidden="false" customHeight="true" outlineLevel="0" collapsed="false">
      <c r="A7" s="6" t="s">
        <v>7</v>
      </c>
      <c r="B7" s="9" t="s">
        <v>8</v>
      </c>
    </row>
    <row r="8" customFormat="false" ht="15.75" hidden="false" customHeight="true" outlineLevel="0" collapsed="false">
      <c r="A8" s="4" t="s">
        <v>9</v>
      </c>
      <c r="B8" s="5"/>
    </row>
    <row r="9" customFormat="false" ht="28.5" hidden="false" customHeight="true" outlineLevel="0" collapsed="false">
      <c r="A9" s="6" t="s">
        <v>10</v>
      </c>
      <c r="B9" s="9" t="s">
        <v>11</v>
      </c>
    </row>
    <row r="10" customFormat="false" ht="28.5" hidden="false" customHeight="true" outlineLevel="0" collapsed="false">
      <c r="A10" s="6" t="s">
        <v>12</v>
      </c>
      <c r="B10" s="9" t="s">
        <v>13</v>
      </c>
    </row>
    <row r="11" customFormat="false" ht="28.5" hidden="false" customHeight="true" outlineLevel="0" collapsed="false">
      <c r="A11" s="6" t="s">
        <v>14</v>
      </c>
      <c r="B11" s="9" t="s">
        <v>15</v>
      </c>
    </row>
    <row r="12" customFormat="false" ht="15.75" hidden="false" customHeight="true" outlineLevel="0" collapsed="false">
      <c r="A12" s="6" t="s">
        <v>16</v>
      </c>
      <c r="B12" s="9" t="s">
        <v>17</v>
      </c>
    </row>
    <row r="13" customFormat="false" ht="28.5" hidden="false" customHeight="true" outlineLevel="0" collapsed="false">
      <c r="A13" s="6" t="s">
        <v>18</v>
      </c>
      <c r="B13" s="9" t="s">
        <v>19</v>
      </c>
    </row>
    <row r="14" customFormat="false" ht="15.75" hidden="false" customHeight="true" outlineLevel="0" collapsed="false">
      <c r="A14" s="6" t="s">
        <v>20</v>
      </c>
      <c r="B14" s="9" t="s">
        <v>21</v>
      </c>
    </row>
    <row r="15" customFormat="false" ht="15.75" hidden="false" customHeight="true" outlineLevel="0" collapsed="false">
      <c r="A15" s="6" t="s">
        <v>22</v>
      </c>
      <c r="B15" s="9" t="s">
        <v>23</v>
      </c>
    </row>
    <row r="16" customFormat="false" ht="28.5" hidden="false" customHeight="true" outlineLevel="0" collapsed="false">
      <c r="A16" s="6" t="s">
        <v>24</v>
      </c>
      <c r="B16" s="9" t="s">
        <v>25</v>
      </c>
    </row>
    <row r="17" customFormat="false" ht="15.75" hidden="false" customHeight="true" outlineLevel="0" collapsed="false">
      <c r="A17" s="6" t="s">
        <v>26</v>
      </c>
      <c r="B17" s="9" t="s">
        <v>27</v>
      </c>
    </row>
    <row r="18" customFormat="false" ht="28.5" hidden="false" customHeight="true" outlineLevel="0" collapsed="false">
      <c r="A18" s="6" t="s">
        <v>28</v>
      </c>
      <c r="B18" s="9" t="s">
        <v>29</v>
      </c>
    </row>
    <row r="19" customFormat="false" ht="28.5" hidden="false" customHeight="true" outlineLevel="0" collapsed="false">
      <c r="A19" s="6" t="s">
        <v>30</v>
      </c>
      <c r="B19" s="9" t="s">
        <v>31</v>
      </c>
    </row>
    <row r="20" customFormat="false" ht="28.5" hidden="false" customHeight="true" outlineLevel="0" collapsed="false">
      <c r="A20" s="6" t="s">
        <v>32</v>
      </c>
      <c r="B20" s="9" t="s">
        <v>33</v>
      </c>
    </row>
    <row r="21" customFormat="false" ht="28.5" hidden="false" customHeight="true" outlineLevel="0" collapsed="false">
      <c r="A21" s="6" t="s">
        <v>34</v>
      </c>
      <c r="B21" s="9" t="s">
        <v>35</v>
      </c>
    </row>
    <row r="22" customFormat="false" ht="15.75" hidden="false" customHeight="true" outlineLevel="0" collapsed="false">
      <c r="A22" s="6" t="s">
        <v>36</v>
      </c>
      <c r="B22" s="9" t="s">
        <v>37</v>
      </c>
    </row>
    <row r="23" customFormat="false" ht="28.5" hidden="false" customHeight="true" outlineLevel="0" collapsed="false">
      <c r="A23" s="6" t="s">
        <v>38</v>
      </c>
      <c r="B23" s="9" t="s">
        <v>39</v>
      </c>
    </row>
    <row r="24" customFormat="false" ht="15.75" hidden="false" customHeight="true" outlineLevel="0" collapsed="false">
      <c r="A24" s="6" t="s">
        <v>40</v>
      </c>
      <c r="B24" s="9" t="s">
        <v>41</v>
      </c>
    </row>
    <row r="25" customFormat="false" ht="28.5" hidden="false" customHeight="true" outlineLevel="0" collapsed="false">
      <c r="A25" s="6" t="s">
        <v>42</v>
      </c>
      <c r="B25" s="9" t="s">
        <v>43</v>
      </c>
    </row>
    <row r="26" customFormat="false" ht="15.75" hidden="false" customHeight="true" outlineLevel="0" collapsed="false">
      <c r="A26" s="4" t="s">
        <v>44</v>
      </c>
      <c r="B26" s="5"/>
    </row>
    <row r="27" customFormat="false" ht="15.75" hidden="false" customHeight="true" outlineLevel="0" collapsed="false">
      <c r="A27" s="6" t="s">
        <v>45</v>
      </c>
      <c r="B27" s="10" t="n">
        <f aca="false">'Quy trinh 8 buoc'!B14</f>
        <v>0</v>
      </c>
    </row>
    <row r="28" customFormat="false" ht="15.75" hidden="false" customHeight="true" outlineLevel="0" collapsed="false">
      <c r="A28" s="6" t="s">
        <v>46</v>
      </c>
      <c r="B28" s="10" t="n">
        <f aca="false">'Kiem tra du lieu'!C30</f>
        <v>0</v>
      </c>
    </row>
    <row r="29" customFormat="false" ht="15.75" hidden="false" customHeight="true" outlineLevel="0" collapsed="false">
      <c r="A29" s="6" t="s">
        <v>47</v>
      </c>
      <c r="B29" s="11" t="n">
        <f aca="false">'Kiem tra du lieu'!C26</f>
        <v>0</v>
      </c>
    </row>
    <row r="30" customFormat="false" ht="15.75" hidden="false" customHeight="true" outlineLevel="0" collapsed="false">
      <c r="A30" s="6" t="s">
        <v>48</v>
      </c>
      <c r="B30" s="10" t="n">
        <f aca="false">'Ke hoach baseline'!I50</f>
        <v>0</v>
      </c>
    </row>
    <row r="31" customFormat="false" ht="15.75" hidden="false" customHeight="true" outlineLevel="0" collapsed="false">
      <c r="A31" s="6" t="s">
        <v>49</v>
      </c>
      <c r="B31" s="11" t="n">
        <f aca="false">'Ke hoach baseline'!D51</f>
        <v>0</v>
      </c>
    </row>
    <row r="32" customFormat="false" ht="15.75" hidden="false" customHeight="true" outlineLevel="0" collapsed="false">
      <c r="A32" s="6" t="s">
        <v>50</v>
      </c>
      <c r="B32" s="11" t="str">
        <f aca="false">'KPI va Gate'!D32&amp;" / "&amp;'KPI va Gate'!D33&amp;" / "&amp;'KPI va Gate'!D34</f>
        <v>0 / 0 / 25</v>
      </c>
    </row>
    <row r="33" customFormat="false" ht="15.75" hidden="false" customHeight="true" outlineLevel="0" collapsed="false">
      <c r="A33" s="6" t="s">
        <v>51</v>
      </c>
      <c r="B33" s="11" t="str">
        <f aca="false">'KPI va Gate'!D36</f>
        <v>CHƯA ĐỦ DỮ LIỆU</v>
      </c>
    </row>
    <row r="34" customFormat="false" ht="15.75" hidden="false" customHeight="true" outlineLevel="0" collapsed="false">
      <c r="A34" s="6" t="s">
        <v>52</v>
      </c>
      <c r="B34" s="11" t="str">
        <f aca="false">Parity!F25&amp;" / "&amp;Parity!F26</f>
        <v>0 / 11</v>
      </c>
    </row>
    <row r="35" customFormat="false" ht="15.75" hidden="false" customHeight="true" outlineLevel="0" collapsed="false">
      <c r="A35" s="6" t="s">
        <v>53</v>
      </c>
      <c r="B35" s="11" t="str">
        <f aca="false">'Test chuc nang'!F38&amp;" / "&amp;'Test chuc nang'!F39</f>
        <v>0 / 30</v>
      </c>
    </row>
    <row r="36" customFormat="false" ht="15.75" hidden="false" customHeight="true" outlineLevel="0" collapsed="false">
      <c r="A36" s="6" t="s">
        <v>54</v>
      </c>
      <c r="B36" s="11" t="str">
        <f aca="false">'Tich hop decode'!C46+'Tich hop decode'!D46&amp;" / "&amp;'Tich hop decode'!C47+'Tich hop decode'!D47</f>
        <v>0 / 17</v>
      </c>
    </row>
    <row r="37" customFormat="false" ht="15.75" hidden="false" customHeight="true" outlineLevel="0" collapsed="false">
      <c r="A37" s="4" t="s">
        <v>55</v>
      </c>
      <c r="B37" s="5"/>
    </row>
    <row r="38" customFormat="false" ht="28.5" hidden="false" customHeight="true" outlineLevel="0" collapsed="false">
      <c r="A38" s="6" t="s">
        <v>56</v>
      </c>
      <c r="B38" s="9" t="s">
        <v>57</v>
      </c>
    </row>
    <row r="39" customFormat="false" ht="15.75" hidden="false" customHeight="true" outlineLevel="0" collapsed="false">
      <c r="A39" s="6" t="s">
        <v>58</v>
      </c>
      <c r="B39" s="9" t="s">
        <v>59</v>
      </c>
    </row>
    <row r="40" customFormat="false" ht="15.75" hidden="false" customHeight="true" outlineLevel="0" collapsed="false">
      <c r="A40" s="6" t="s">
        <v>60</v>
      </c>
      <c r="B40" s="9" t="s">
        <v>61</v>
      </c>
    </row>
    <row r="41" customFormat="false" ht="15.75" hidden="false" customHeight="true" outlineLevel="0" collapsed="false">
      <c r="A41" s="6" t="s">
        <v>62</v>
      </c>
      <c r="B41" s="9" t="s">
        <v>63</v>
      </c>
    </row>
    <row r="42" customFormat="false" ht="28.5" hidden="false" customHeight="true" outlineLevel="0" collapsed="false">
      <c r="A42" s="6" t="s">
        <v>64</v>
      </c>
      <c r="B42" s="9" t="s">
        <v>65</v>
      </c>
    </row>
    <row r="43" customFormat="false" ht="28.5" hidden="false" customHeight="true" outlineLevel="0" collapsed="false">
      <c r="A43" s="6" t="s">
        <v>66</v>
      </c>
      <c r="B43" s="9" t="s">
        <v>67</v>
      </c>
    </row>
    <row r="44" customFormat="false" ht="15.75" hidden="false" customHeight="true" outlineLevel="0" collapsed="false">
      <c r="A44" s="6" t="s">
        <v>68</v>
      </c>
      <c r="B44" s="9" t="s">
        <v>69</v>
      </c>
    </row>
    <row r="45" customFormat="false" ht="28.5" hidden="false" customHeight="true" outlineLevel="0" collapsed="false">
      <c r="A45" s="6" t="s">
        <v>70</v>
      </c>
      <c r="B45" s="9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2" min="10" style="0" width="11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22"/>
    <col collapsed="false" customWidth="true" hidden="false" outlineLevel="0" max="16" min="16" style="0" width="24"/>
  </cols>
  <sheetData>
    <row r="1" customFormat="false" ht="17.25" hidden="false" customHeight="true" outlineLevel="0" collapsed="false">
      <c r="A1" s="2" t="s">
        <v>72</v>
      </c>
    </row>
    <row r="2" customFormat="false" ht="15" hidden="false" customHeight="true" outlineLevel="0" collapsed="false">
      <c r="A2" s="3" t="s">
        <v>73</v>
      </c>
    </row>
    <row r="4" customFormat="false" ht="28.5" hidden="false" customHeight="true" outlineLevel="0" collapsed="false">
      <c r="A4" s="12" t="s">
        <v>74</v>
      </c>
      <c r="B4" s="12" t="s">
        <v>75</v>
      </c>
      <c r="C4" s="12" t="s">
        <v>76</v>
      </c>
      <c r="D4" s="12" t="s">
        <v>77</v>
      </c>
      <c r="E4" s="12" t="s">
        <v>78</v>
      </c>
      <c r="F4" s="12" t="s">
        <v>79</v>
      </c>
      <c r="G4" s="12" t="s">
        <v>80</v>
      </c>
      <c r="H4" s="12" t="s">
        <v>81</v>
      </c>
      <c r="I4" s="12" t="s">
        <v>82</v>
      </c>
      <c r="J4" s="12" t="s">
        <v>83</v>
      </c>
      <c r="K4" s="12" t="s">
        <v>84</v>
      </c>
      <c r="L4" s="12" t="s">
        <v>85</v>
      </c>
      <c r="M4" s="12" t="s">
        <v>86</v>
      </c>
      <c r="N4" s="12" t="s">
        <v>87</v>
      </c>
      <c r="O4" s="12" t="s">
        <v>88</v>
      </c>
      <c r="P4" s="12" t="s">
        <v>89</v>
      </c>
    </row>
    <row r="5" customFormat="false" ht="28.5" hidden="false" customHeight="true" outlineLevel="0" collapsed="false">
      <c r="A5" s="13" t="s">
        <v>90</v>
      </c>
      <c r="B5" s="13" t="s">
        <v>91</v>
      </c>
      <c r="C5" s="14" t="s">
        <v>92</v>
      </c>
      <c r="D5" s="14" t="s">
        <v>93</v>
      </c>
      <c r="E5" s="14" t="s">
        <v>94</v>
      </c>
      <c r="F5" s="14" t="s">
        <v>95</v>
      </c>
      <c r="G5" s="13" t="s">
        <v>12</v>
      </c>
      <c r="H5" s="13" t="s">
        <v>96</v>
      </c>
      <c r="I5" s="15" t="s">
        <v>97</v>
      </c>
      <c r="J5" s="16" t="n">
        <v>46293</v>
      </c>
      <c r="K5" s="16" t="n">
        <v>46297</v>
      </c>
      <c r="L5" s="17"/>
      <c r="M5" s="18" t="s">
        <v>98</v>
      </c>
      <c r="N5" s="13" t="str">
        <f aca="true">IF(K5="","",IF(L5&lt;&gt;"",IF(L5&gt;K5,"Xong trễ "&amp;(L5-K5)&amp;" ngày","Đúng hạn"),IF(OR(M5="Đạt",M5="Không áp dụng"),"",IF(TODAY()&gt;K5,"Trễ "&amp;(TODAY()-K5)&amp;" ngày","Còn "&amp;(K5-TODAY())&amp;" ngày"))))</f>
        <v>Còn 7 ngày</v>
      </c>
      <c r="O5" s="18"/>
      <c r="P5" s="18"/>
    </row>
    <row r="6" customFormat="false" ht="41.25" hidden="false" customHeight="true" outlineLevel="0" collapsed="false">
      <c r="A6" s="13" t="s">
        <v>99</v>
      </c>
      <c r="B6" s="13" t="s">
        <v>91</v>
      </c>
      <c r="C6" s="14" t="s">
        <v>100</v>
      </c>
      <c r="D6" s="14" t="s">
        <v>101</v>
      </c>
      <c r="E6" s="14" t="s">
        <v>102</v>
      </c>
      <c r="F6" s="14" t="s">
        <v>103</v>
      </c>
      <c r="G6" s="13" t="s">
        <v>14</v>
      </c>
      <c r="H6" s="13" t="s">
        <v>90</v>
      </c>
      <c r="I6" s="18"/>
      <c r="J6" s="17"/>
      <c r="K6" s="17"/>
      <c r="L6" s="17"/>
      <c r="M6" s="18" t="s">
        <v>98</v>
      </c>
      <c r="N6" s="13" t="str">
        <f aca="true">IF(K6="","",IF(L6&lt;&gt;"",IF(L6&gt;K6,"Xong trễ "&amp;(L6-K6)&amp;" ngày","Đúng hạn"),IF(OR(M6="Đạt",M6="Không áp dụng"),"",IF(TODAY()&gt;K6,"Trễ "&amp;(TODAY()-K6)&amp;" ngày","Còn "&amp;(K6-TODAY())&amp;" ngày"))))</f>
        <v/>
      </c>
      <c r="O6" s="18"/>
      <c r="P6" s="18"/>
    </row>
    <row r="7" customFormat="false" ht="28.5" hidden="false" customHeight="true" outlineLevel="0" collapsed="false">
      <c r="A7" s="13" t="s">
        <v>104</v>
      </c>
      <c r="B7" s="13" t="s">
        <v>91</v>
      </c>
      <c r="C7" s="14" t="s">
        <v>105</v>
      </c>
      <c r="D7" s="14" t="s">
        <v>106</v>
      </c>
      <c r="E7" s="14" t="s">
        <v>107</v>
      </c>
      <c r="F7" s="14" t="s">
        <v>108</v>
      </c>
      <c r="G7" s="13" t="s">
        <v>14</v>
      </c>
      <c r="H7" s="13" t="s">
        <v>90</v>
      </c>
      <c r="I7" s="18"/>
      <c r="J7" s="17"/>
      <c r="K7" s="17"/>
      <c r="L7" s="17"/>
      <c r="M7" s="18" t="s">
        <v>98</v>
      </c>
      <c r="N7" s="13" t="str">
        <f aca="true">IF(K7="","",IF(L7&lt;&gt;"",IF(L7&gt;K7,"Xong trễ "&amp;(L7-K7)&amp;" ngày","Đúng hạn"),IF(OR(M7="Đạt",M7="Không áp dụng"),"",IF(TODAY()&gt;K7,"Trễ "&amp;(TODAY()-K7)&amp;" ngày","Còn "&amp;(K7-TODAY())&amp;" ngày"))))</f>
        <v/>
      </c>
      <c r="O7" s="18"/>
      <c r="P7" s="18"/>
    </row>
    <row r="8" customFormat="false" ht="41.25" hidden="false" customHeight="true" outlineLevel="0" collapsed="false">
      <c r="A8" s="13" t="s">
        <v>109</v>
      </c>
      <c r="B8" s="13" t="s">
        <v>110</v>
      </c>
      <c r="C8" s="14" t="str">
        <f aca="false">'Quy trinh 8 buoc'!B5</f>
        <v>Chia dữ liệu</v>
      </c>
      <c r="D8" s="14" t="str">
        <f aca="false">'Quy trinh 8 buoc'!D5</f>
        <v>Chia dev ~30% / test ~70% theo nguồn gốc bản ghi (không theo clip); phân tầng theo category; bổ sung tập thật/khó (tự thu hoặc AVA-Speech).</v>
      </c>
      <c r="E8" s="14" t="str">
        <f aca="false">'Quy trinh 8 buoc'!E5</f>
        <v>Danh sách file dev/test + cột group</v>
      </c>
      <c r="F8" s="14" t="s">
        <v>111</v>
      </c>
      <c r="G8" s="13" t="s">
        <v>16</v>
      </c>
      <c r="H8" s="13" t="s">
        <v>99</v>
      </c>
      <c r="I8" s="18"/>
      <c r="J8" s="17"/>
      <c r="K8" s="17"/>
      <c r="L8" s="17"/>
      <c r="M8" s="13" t="str">
        <f aca="false">'Quy trinh 8 buoc'!G5</f>
        <v>Chưa làm</v>
      </c>
      <c r="N8" s="13" t="str">
        <f aca="true">IF(K8="","",IF(L8&lt;&gt;"",IF(L8&gt;K8,"Xong trễ "&amp;(L8-K8)&amp;" ngày","Đúng hạn"),IF(OR(M8="Đạt",M8="Không áp dụng"),"",IF(TODAY()&gt;K8,"Trễ "&amp;(TODAY()-K8)&amp;" ngày","Còn "&amp;(K8-TODAY())&amp;" ngày"))))</f>
        <v/>
      </c>
      <c r="O8" s="18"/>
      <c r="P8" s="18"/>
    </row>
    <row r="9" customFormat="false" ht="54" hidden="false" customHeight="true" outlineLevel="0" collapsed="false">
      <c r="A9" s="13" t="s">
        <v>112</v>
      </c>
      <c r="B9" s="13" t="s">
        <v>110</v>
      </c>
      <c r="C9" s="14" t="str">
        <f aca="false">'Quy trinh 8 buoc'!B6</f>
        <v>Chuẩn hóa GT</v>
      </c>
      <c r="D9" s="14" t="str">
        <f aca="false">'Quy trinh 8 buoc'!D6</f>
        <v>Tính frac_speech mỗi bin; gắn cờ bin biên (±1 bin) và bin mơ hồ; quy tắc rebin model trùng quy tắc tạo GT; gắn metadata (category, SNR, loại nền, loại giọng).</v>
      </c>
      <c r="E9" s="14" t="str">
        <f aca="false">'Quy trinh 8 buoc'!E6</f>
        <v>Bảng bin: file, bin, y, frac, is_boundary, is_ambiguous, metadata</v>
      </c>
      <c r="F9" s="14" t="s">
        <v>113</v>
      </c>
      <c r="G9" s="13" t="s">
        <v>16</v>
      </c>
      <c r="H9" s="13" t="s">
        <v>109</v>
      </c>
      <c r="I9" s="18"/>
      <c r="J9" s="17"/>
      <c r="K9" s="17"/>
      <c r="L9" s="17"/>
      <c r="M9" s="13" t="str">
        <f aca="false">'Quy trinh 8 buoc'!G6</f>
        <v>Chưa làm</v>
      </c>
      <c r="N9" s="13" t="str">
        <f aca="true">IF(K9="","",IF(L9&lt;&gt;"",IF(L9&gt;K9,"Xong trễ "&amp;(L9-K9)&amp;" ngày","Đúng hạn"),IF(OR(M9="Đạt",M9="Không áp dụng"),"",IF(TODAY()&gt;K9,"Trễ "&amp;(TODAY()-K9)&amp;" ngày","Còn "&amp;(K9-TODAY())&amp;" ngày"))))</f>
        <v/>
      </c>
      <c r="O9" s="18"/>
      <c r="P9" s="18"/>
    </row>
    <row r="10" customFormat="false" ht="41.25" hidden="false" customHeight="true" outlineLevel="0" collapsed="false">
      <c r="A10" s="13" t="s">
        <v>114</v>
      </c>
      <c r="B10" s="13" t="s">
        <v>110</v>
      </c>
      <c r="C10" s="14" t="str">
        <f aca="false">'Quy trinh 8 buoc'!B7</f>
        <v>Kiểm tra alignment &amp; rò rỉ</v>
      </c>
      <c r="D10" s="14" t="str">
        <f aca="false">'Quy trinh 8 buoc'!D7</f>
        <v>Chạy sheet 'Kiem tra du lieu' (mục 5a–5e, 2a–2c): ghép file, thời lượng, 16 kHz mono, offset +0.48s, quét shift ±1s.</v>
      </c>
      <c r="E10" s="14" t="str">
        <f aca="false">'Quy trinh 8 buoc'!E7</f>
        <v>Bảng cờ theo file; đồ thị F1 theo shift</v>
      </c>
      <c r="F10" s="14" t="s">
        <v>115</v>
      </c>
      <c r="G10" s="13" t="s">
        <v>20</v>
      </c>
      <c r="H10" s="13" t="s">
        <v>112</v>
      </c>
      <c r="I10" s="18"/>
      <c r="J10" s="17"/>
      <c r="K10" s="17"/>
      <c r="L10" s="17"/>
      <c r="M10" s="13" t="str">
        <f aca="false">'Quy trinh 8 buoc'!G7</f>
        <v>Chưa làm</v>
      </c>
      <c r="N10" s="13" t="str">
        <f aca="true">IF(K10="","",IF(L10&lt;&gt;"",IF(L10&gt;K10,"Xong trễ "&amp;(L10-K10)&amp;" ngày","Đúng hạn"),IF(OR(M10="Đạt",M10="Không áp dụng"),"",IF(TODAY()&gt;K10,"Trễ "&amp;(TODAY()-K10)&amp;" ngày","Còn "&amp;(K10-TODAY())&amp;" ngày"))))</f>
        <v/>
      </c>
      <c r="O10" s="18"/>
      <c r="P10" s="18"/>
    </row>
    <row r="11" customFormat="false" ht="41.25" hidden="false" customHeight="true" outlineLevel="0" collapsed="false">
      <c r="A11" s="13" t="s">
        <v>116</v>
      </c>
      <c r="B11" s="13" t="s">
        <v>110</v>
      </c>
      <c r="C11" s="14" t="str">
        <f aca="false">'Quy trinh 8 buoc'!B8</f>
        <v>Tầng A – điểm thô</v>
      </c>
      <c r="D11" s="14" t="str">
        <f aca="false">'Quy trinh 8 buoc'!D8</f>
        <v>ROC-AUC, PR-AUC, DET, TPR@FPR=1%/5%, reliability diagram; micro + macro theo file/category; trên 3 tập bin: tất cả / không biên / rõ ràng.</v>
      </c>
      <c r="E11" s="14" t="str">
        <f aca="false">'Quy trinh 8 buoc'!E8</f>
        <v>Bảng metric tầng A + ROC/PR/DET</v>
      </c>
      <c r="F11" s="14" t="s">
        <v>117</v>
      </c>
      <c r="G11" s="13" t="s">
        <v>16</v>
      </c>
      <c r="H11" s="13" t="s">
        <v>114</v>
      </c>
      <c r="I11" s="18"/>
      <c r="J11" s="17"/>
      <c r="K11" s="17"/>
      <c r="L11" s="17"/>
      <c r="M11" s="13" t="str">
        <f aca="false">'Quy trinh 8 buoc'!G8</f>
        <v>Chưa làm</v>
      </c>
      <c r="N11" s="13" t="str">
        <f aca="true">IF(K11="","",IF(L11&lt;&gt;"",IF(L11&gt;K11,"Xong trễ "&amp;(L11-K11)&amp;" ngày","Đúng hạn"),IF(OR(M11="Đạt",M11="Không áp dụng"),"",IF(TODAY()&gt;K11,"Trễ "&amp;(TODAY()-K11)&amp;" ngày","Còn "&amp;(K11-TODAY())&amp;" ngày"))))</f>
        <v/>
      </c>
      <c r="O11" s="18"/>
      <c r="P11" s="18"/>
    </row>
    <row r="12" customFormat="false" ht="41.25" hidden="false" customHeight="true" outlineLevel="0" collapsed="false">
      <c r="A12" s="13" t="s">
        <v>118</v>
      </c>
      <c r="B12" s="13" t="s">
        <v>110</v>
      </c>
      <c r="C12" s="14" t="str">
        <f aca="false">'Quy trinh 8 buoc'!B9</f>
        <v>Chọn ngưỡng trên dev</v>
      </c>
      <c r="D12" s="14" t="str">
        <f aca="false">'Quy trinh 8 buoc'!D9</f>
        <v>Quét ngưỡng qua TOÀN pipeline trên dev; tối thiểu DCF hoặc cố định FAR; ghi lại ngưỡng Youden tầng A để so sánh; bootstrap CI của ngưỡng.</v>
      </c>
      <c r="E12" s="14" t="str">
        <f aca="false">'Quy trinh 8 buoc'!E9</f>
        <v>Ngưỡng cố định cho test + CI</v>
      </c>
      <c r="F12" s="14" t="s">
        <v>119</v>
      </c>
      <c r="G12" s="13" t="s">
        <v>16</v>
      </c>
      <c r="H12" s="13" t="s">
        <v>116</v>
      </c>
      <c r="I12" s="18"/>
      <c r="J12" s="17"/>
      <c r="K12" s="17"/>
      <c r="L12" s="17"/>
      <c r="M12" s="13" t="str">
        <f aca="false">'Quy trinh 8 buoc'!G9</f>
        <v>Chưa làm</v>
      </c>
      <c r="N12" s="13" t="str">
        <f aca="true">IF(K12="","",IF(L12&lt;&gt;"",IF(L12&gt;K12,"Xong trễ "&amp;(L12-K12)&amp;" ngày","Đúng hạn"),IF(OR(M12="Đạt",M12="Không áp dụng"),"",IF(TODAY()&gt;K12,"Trễ "&amp;(TODAY()-K12)&amp;" ngày","Còn "&amp;(K12-TODAY())&amp;" ngày"))))</f>
        <v/>
      </c>
      <c r="O12" s="18"/>
      <c r="P12" s="18"/>
    </row>
    <row r="13" customFormat="false" ht="54" hidden="false" customHeight="true" outlineLevel="0" collapsed="false">
      <c r="A13" s="13" t="s">
        <v>120</v>
      </c>
      <c r="B13" s="13" t="s">
        <v>110</v>
      </c>
      <c r="C13" s="14" t="str">
        <f aca="false">'Quy trinh 8 buoc'!B10</f>
        <v>Tầng B – đầu ra cuối (test)</v>
      </c>
      <c r="D13" s="14" t="str">
        <f aca="false">'Quy trinh 8 buoc'!D10</f>
        <v>MR, FAR, F1, DCF, DetER ở 3 chế độ (strict / ±1 bin / chỉ biên); tách FEC/MSC/OVER/NDS; event-F1 (t_collar=0.5s); fragmentation/over-merge; histogram Δonset/Δoffset.</v>
      </c>
      <c r="E13" s="14" t="str">
        <f aca="false">'Quy trinh 8 buoc'!E10</f>
        <v>Sheet 'Bao cao category' + đồ thị</v>
      </c>
      <c r="F13" s="14" t="s">
        <v>121</v>
      </c>
      <c r="G13" s="13" t="s">
        <v>24</v>
      </c>
      <c r="H13" s="13" t="s">
        <v>118</v>
      </c>
      <c r="I13" s="18"/>
      <c r="J13" s="17"/>
      <c r="K13" s="17"/>
      <c r="L13" s="17"/>
      <c r="M13" s="13" t="str">
        <f aca="false">'Quy trinh 8 buoc'!G10</f>
        <v>Chưa làm</v>
      </c>
      <c r="N13" s="13" t="str">
        <f aca="true">IF(K13="","",IF(L13&lt;&gt;"",IF(L13&gt;K13,"Xong trễ "&amp;(L13-K13)&amp;" ngày","Đúng hạn"),IF(OR(M13="Đạt",M13="Không áp dụng"),"",IF(TODAY()&gt;K13,"Trễ "&amp;(TODAY()-K13)&amp;" ngày","Còn "&amp;(K13-TODAY())&amp;" ngày"))))</f>
        <v/>
      </c>
      <c r="O13" s="18"/>
      <c r="P13" s="18"/>
    </row>
    <row r="14" customFormat="false" ht="28.5" hidden="false" customHeight="true" outlineLevel="0" collapsed="false">
      <c r="A14" s="13" t="s">
        <v>122</v>
      </c>
      <c r="B14" s="13" t="s">
        <v>110</v>
      </c>
      <c r="C14" s="14" t="str">
        <f aca="false">'Quy trinh 8 buoc'!B11</f>
        <v>Ablation hậu xử lý</v>
      </c>
      <c r="D14" s="14" t="str">
        <f aca="false">'Quy trinh 8 buoc'!D11</f>
        <v>Chạy A0–A4 và lưới quét pad/merge (sheet 'Ablation'); đếm riêng gap GT ≤1s bị lấp.</v>
      </c>
      <c r="E14" s="14" t="str">
        <f aca="false">'Quy trinh 8 buoc'!E11</f>
        <v>Bảng ablation + heatmap F1(pad, merge)</v>
      </c>
      <c r="F14" s="14" t="s">
        <v>123</v>
      </c>
      <c r="G14" s="13" t="s">
        <v>22</v>
      </c>
      <c r="H14" s="13" t="s">
        <v>118</v>
      </c>
      <c r="I14" s="18"/>
      <c r="J14" s="17"/>
      <c r="K14" s="17"/>
      <c r="L14" s="17"/>
      <c r="M14" s="13" t="str">
        <f aca="false">'Quy trinh 8 buoc'!G11</f>
        <v>Chưa làm</v>
      </c>
      <c r="N14" s="13" t="str">
        <f aca="true">IF(K14="","",IF(L14&lt;&gt;"",IF(L14&gt;K14,"Xong trễ "&amp;(L14-K14)&amp;" ngày","Đúng hạn"),IF(OR(M14="Đạt",M14="Không áp dụng"),"",IF(TODAY()&gt;K14,"Trễ "&amp;(TODAY()-K14)&amp;" ngày","Còn "&amp;(K14-TODAY())&amp;" ngày"))))</f>
        <v/>
      </c>
      <c r="O14" s="18"/>
      <c r="P14" s="18"/>
    </row>
    <row r="15" customFormat="false" ht="54" hidden="false" customHeight="true" outlineLevel="0" collapsed="false">
      <c r="A15" s="13" t="s">
        <v>124</v>
      </c>
      <c r="B15" s="13" t="s">
        <v>110</v>
      </c>
      <c r="C15" s="14" t="str">
        <f aca="false">'Quy trinh 8 buoc'!B12</f>
        <v>Báo cáo</v>
      </c>
      <c r="D15" s="14" t="str">
        <f aca="false">'Quy trinh 8 buoc'!D12</f>
        <v>Mỗi metric kèm CI 95% bootstrap theo file; bảng per-category; top-K file lỗi đã nghe kiểm tra kèm nguyên nhân; báo cả số tổng hợp và số dữ liệu thật.</v>
      </c>
      <c r="E15" s="14" t="str">
        <f aca="false">'Quy trinh 8 buoc'!E12</f>
        <v>Báo cáo cuối</v>
      </c>
      <c r="F15" s="14" t="s">
        <v>125</v>
      </c>
      <c r="G15" s="13" t="s">
        <v>16</v>
      </c>
      <c r="H15" s="13" t="s">
        <v>126</v>
      </c>
      <c r="I15" s="18"/>
      <c r="J15" s="17"/>
      <c r="K15" s="17"/>
      <c r="L15" s="17"/>
      <c r="M15" s="13" t="str">
        <f aca="false">'Quy trinh 8 buoc'!G12</f>
        <v>Chưa làm</v>
      </c>
      <c r="N15" s="13" t="str">
        <f aca="true">IF(K15="","",IF(L15&lt;&gt;"",IF(L15&gt;K15,"Xong trễ "&amp;(L15-K15)&amp;" ngày","Đúng hạn"),IF(OR(M15="Đạt",M15="Không áp dụng"),"",IF(TODAY()&gt;K15,"Trễ "&amp;(TODAY()-K15)&amp;" ngày","Còn "&amp;(K15-TODAY())&amp;" ngày"))))</f>
        <v/>
      </c>
      <c r="O15" s="18"/>
      <c r="P15" s="18"/>
    </row>
    <row r="16" customFormat="false" ht="28.5" hidden="false" customHeight="true" outlineLevel="0" collapsed="false">
      <c r="A16" s="13" t="s">
        <v>127</v>
      </c>
      <c r="B16" s="13" t="s">
        <v>128</v>
      </c>
      <c r="C16" s="14" t="s">
        <v>129</v>
      </c>
      <c r="D16" s="14" t="s">
        <v>130</v>
      </c>
      <c r="E16" s="14" t="s">
        <v>131</v>
      </c>
      <c r="F16" s="14" t="s">
        <v>132</v>
      </c>
      <c r="G16" s="13" t="s">
        <v>28</v>
      </c>
      <c r="H16" s="13" t="s">
        <v>99</v>
      </c>
      <c r="I16" s="18"/>
      <c r="J16" s="17"/>
      <c r="K16" s="17"/>
      <c r="L16" s="17"/>
      <c r="M16" s="18" t="s">
        <v>98</v>
      </c>
      <c r="N16" s="13" t="str">
        <f aca="true">IF(K16="","",IF(L16&lt;&gt;"",IF(L16&gt;K16,"Xong trễ "&amp;(L16-K16)&amp;" ngày","Đúng hạn"),IF(OR(M16="Đạt",M16="Không áp dụng"),"",IF(TODAY()&gt;K16,"Trễ "&amp;(TODAY()-K16)&amp;" ngày","Còn "&amp;(K16-TODAY())&amp;" ngày"))))</f>
        <v/>
      </c>
      <c r="O16" s="18"/>
      <c r="P16" s="18"/>
    </row>
    <row r="17" customFormat="false" ht="28.5" hidden="false" customHeight="true" outlineLevel="0" collapsed="false">
      <c r="A17" s="13" t="s">
        <v>133</v>
      </c>
      <c r="B17" s="13" t="s">
        <v>128</v>
      </c>
      <c r="C17" s="14" t="s">
        <v>134</v>
      </c>
      <c r="D17" s="14" t="s">
        <v>135</v>
      </c>
      <c r="E17" s="14" t="s">
        <v>136</v>
      </c>
      <c r="F17" s="14" t="s">
        <v>137</v>
      </c>
      <c r="G17" s="13" t="s">
        <v>24</v>
      </c>
      <c r="H17" s="13" t="s">
        <v>138</v>
      </c>
      <c r="I17" s="18"/>
      <c r="J17" s="17"/>
      <c r="K17" s="17"/>
      <c r="L17" s="17"/>
      <c r="M17" s="18" t="s">
        <v>98</v>
      </c>
      <c r="N17" s="13" t="str">
        <f aca="true">IF(K17="","",IF(L17&lt;&gt;"",IF(L17&gt;K17,"Xong trễ "&amp;(L17-K17)&amp;" ngày","Đúng hạn"),IF(OR(M17="Đạt",M17="Không áp dụng"),"",IF(TODAY()&gt;K17,"Trễ "&amp;(TODAY()-K17)&amp;" ngày","Còn "&amp;(K17-TODAY())&amp;" ngày"))))</f>
        <v/>
      </c>
      <c r="O17" s="18"/>
      <c r="P17" s="18"/>
    </row>
    <row r="18" customFormat="false" ht="28.5" hidden="false" customHeight="true" outlineLevel="0" collapsed="false">
      <c r="A18" s="13" t="s">
        <v>139</v>
      </c>
      <c r="B18" s="13" t="s">
        <v>128</v>
      </c>
      <c r="C18" s="14" t="s">
        <v>140</v>
      </c>
      <c r="D18" s="14" t="s">
        <v>141</v>
      </c>
      <c r="E18" s="14" t="s">
        <v>142</v>
      </c>
      <c r="F18" s="14" t="s">
        <v>143</v>
      </c>
      <c r="G18" s="13" t="s">
        <v>22</v>
      </c>
      <c r="H18" s="13" t="s">
        <v>133</v>
      </c>
      <c r="I18" s="18"/>
      <c r="J18" s="17"/>
      <c r="K18" s="17"/>
      <c r="L18" s="17"/>
      <c r="M18" s="18" t="s">
        <v>98</v>
      </c>
      <c r="N18" s="13" t="str">
        <f aca="true">IF(K18="","",IF(L18&lt;&gt;"",IF(L18&gt;K18,"Xong trễ "&amp;(L18-K18)&amp;" ngày","Đúng hạn"),IF(OR(M18="Đạt",M18="Không áp dụng"),"",IF(TODAY()&gt;K18,"Trễ "&amp;(TODAY()-K18)&amp;" ngày","Còn "&amp;(K18-TODAY())&amp;" ngày"))))</f>
        <v/>
      </c>
      <c r="O18" s="18"/>
      <c r="P18" s="18"/>
    </row>
    <row r="19" customFormat="false" ht="28.5" hidden="false" customHeight="true" outlineLevel="0" collapsed="false">
      <c r="A19" s="13" t="s">
        <v>144</v>
      </c>
      <c r="B19" s="13" t="s">
        <v>145</v>
      </c>
      <c r="C19" s="14" t="s">
        <v>146</v>
      </c>
      <c r="D19" s="14" t="s">
        <v>147</v>
      </c>
      <c r="E19" s="14" t="s">
        <v>148</v>
      </c>
      <c r="F19" s="14" t="s">
        <v>149</v>
      </c>
      <c r="G19" s="13" t="s">
        <v>30</v>
      </c>
      <c r="H19" s="13" t="s">
        <v>99</v>
      </c>
      <c r="I19" s="18"/>
      <c r="J19" s="17"/>
      <c r="K19" s="17"/>
      <c r="L19" s="17"/>
      <c r="M19" s="18" t="s">
        <v>98</v>
      </c>
      <c r="N19" s="13" t="str">
        <f aca="true">IF(K19="","",IF(L19&lt;&gt;"",IF(L19&gt;K19,"Xong trễ "&amp;(L19-K19)&amp;" ngày","Đúng hạn"),IF(OR(M19="Đạt",M19="Không áp dụng"),"",IF(TODAY()&gt;K19,"Trễ "&amp;(TODAY()-K19)&amp;" ngày","Còn "&amp;(K19-TODAY())&amp;" ngày"))))</f>
        <v/>
      </c>
      <c r="O19" s="18"/>
      <c r="P19" s="18"/>
    </row>
    <row r="20" customFormat="false" ht="28.5" hidden="false" customHeight="true" outlineLevel="0" collapsed="false">
      <c r="A20" s="13" t="s">
        <v>150</v>
      </c>
      <c r="B20" s="13" t="s">
        <v>145</v>
      </c>
      <c r="C20" s="14" t="s">
        <v>151</v>
      </c>
      <c r="D20" s="14" t="s">
        <v>152</v>
      </c>
      <c r="E20" s="14" t="s">
        <v>153</v>
      </c>
      <c r="F20" s="14" t="s">
        <v>154</v>
      </c>
      <c r="G20" s="13" t="s">
        <v>30</v>
      </c>
      <c r="H20" s="13" t="s">
        <v>144</v>
      </c>
      <c r="I20" s="18"/>
      <c r="J20" s="17"/>
      <c r="K20" s="17"/>
      <c r="L20" s="17"/>
      <c r="M20" s="18" t="s">
        <v>98</v>
      </c>
      <c r="N20" s="13" t="str">
        <f aca="true">IF(K20="","",IF(L20&lt;&gt;"",IF(L20&gt;K20,"Xong trễ "&amp;(L20-K20)&amp;" ngày","Đúng hạn"),IF(OR(M20="Đạt",M20="Không áp dụng"),"",IF(TODAY()&gt;K20,"Trễ "&amp;(TODAY()-K20)&amp;" ngày","Còn "&amp;(K20-TODAY())&amp;" ngày"))))</f>
        <v/>
      </c>
      <c r="O20" s="18"/>
      <c r="P20" s="18"/>
    </row>
    <row r="21" customFormat="false" ht="28.5" hidden="false" customHeight="true" outlineLevel="0" collapsed="false">
      <c r="A21" s="13" t="s">
        <v>155</v>
      </c>
      <c r="B21" s="13" t="s">
        <v>145</v>
      </c>
      <c r="C21" s="14" t="s">
        <v>156</v>
      </c>
      <c r="D21" s="14" t="s">
        <v>157</v>
      </c>
      <c r="E21" s="14" t="s">
        <v>158</v>
      </c>
      <c r="F21" s="14" t="s">
        <v>159</v>
      </c>
      <c r="G21" s="13" t="s">
        <v>30</v>
      </c>
      <c r="H21" s="13" t="s">
        <v>150</v>
      </c>
      <c r="I21" s="18"/>
      <c r="J21" s="17"/>
      <c r="K21" s="17"/>
      <c r="L21" s="17"/>
      <c r="M21" s="18" t="s">
        <v>98</v>
      </c>
      <c r="N21" s="13" t="str">
        <f aca="true">IF(K21="","",IF(L21&lt;&gt;"",IF(L21&gt;K21,"Xong trễ "&amp;(L21-K21)&amp;" ngày","Đúng hạn"),IF(OR(M21="Đạt",M21="Không áp dụng"),"",IF(TODAY()&gt;K21,"Trễ "&amp;(TODAY()-K21)&amp;" ngày","Còn "&amp;(K21-TODAY())&amp;" ngày"))))</f>
        <v/>
      </c>
      <c r="O21" s="18"/>
      <c r="P21" s="18"/>
    </row>
    <row r="22" customFormat="false" ht="28.5" hidden="false" customHeight="true" outlineLevel="0" collapsed="false">
      <c r="A22" s="13" t="s">
        <v>160</v>
      </c>
      <c r="B22" s="13" t="s">
        <v>145</v>
      </c>
      <c r="C22" s="14" t="s">
        <v>161</v>
      </c>
      <c r="D22" s="14" t="s">
        <v>162</v>
      </c>
      <c r="E22" s="14" t="s">
        <v>163</v>
      </c>
      <c r="F22" s="14" t="s">
        <v>164</v>
      </c>
      <c r="G22" s="13" t="s">
        <v>30</v>
      </c>
      <c r="H22" s="13" t="s">
        <v>150</v>
      </c>
      <c r="I22" s="18"/>
      <c r="J22" s="17"/>
      <c r="K22" s="17"/>
      <c r="L22" s="17"/>
      <c r="M22" s="18" t="s">
        <v>98</v>
      </c>
      <c r="N22" s="13" t="str">
        <f aca="true">IF(K22="","",IF(L22&lt;&gt;"",IF(L22&gt;K22,"Xong trễ "&amp;(L22-K22)&amp;" ngày","Đúng hạn"),IF(OR(M22="Đạt",M22="Không áp dụng"),"",IF(TODAY()&gt;K22,"Trễ "&amp;(TODAY()-K22)&amp;" ngày","Còn "&amp;(K22-TODAY())&amp;" ngày"))))</f>
        <v/>
      </c>
      <c r="O22" s="18"/>
      <c r="P22" s="18"/>
    </row>
    <row r="23" customFormat="false" ht="28.5" hidden="false" customHeight="true" outlineLevel="0" collapsed="false">
      <c r="A23" s="13" t="s">
        <v>165</v>
      </c>
      <c r="B23" s="13" t="s">
        <v>145</v>
      </c>
      <c r="C23" s="14" t="s">
        <v>166</v>
      </c>
      <c r="D23" s="14" t="s">
        <v>167</v>
      </c>
      <c r="E23" s="14" t="s">
        <v>168</v>
      </c>
      <c r="F23" s="14" t="s">
        <v>169</v>
      </c>
      <c r="G23" s="13" t="s">
        <v>30</v>
      </c>
      <c r="H23" s="13" t="s">
        <v>150</v>
      </c>
      <c r="I23" s="18"/>
      <c r="J23" s="17"/>
      <c r="K23" s="17"/>
      <c r="L23" s="17"/>
      <c r="M23" s="18" t="s">
        <v>98</v>
      </c>
      <c r="N23" s="13" t="str">
        <f aca="true">IF(K23="","",IF(L23&lt;&gt;"",IF(L23&gt;K23,"Xong trễ "&amp;(L23-K23)&amp;" ngày","Đúng hạn"),IF(OR(M23="Đạt",M23="Không áp dụng"),"",IF(TODAY()&gt;K23,"Trễ "&amp;(TODAY()-K23)&amp;" ngày","Còn "&amp;(K23-TODAY())&amp;" ngày"))))</f>
        <v/>
      </c>
      <c r="O23" s="18"/>
      <c r="P23" s="18"/>
    </row>
    <row r="24" customFormat="false" ht="28.5" hidden="false" customHeight="true" outlineLevel="0" collapsed="false">
      <c r="A24" s="13" t="s">
        <v>170</v>
      </c>
      <c r="B24" s="13" t="s">
        <v>171</v>
      </c>
      <c r="C24" s="14" t="s">
        <v>172</v>
      </c>
      <c r="D24" s="14" t="s">
        <v>173</v>
      </c>
      <c r="E24" s="14" t="s">
        <v>174</v>
      </c>
      <c r="F24" s="14" t="s">
        <v>175</v>
      </c>
      <c r="G24" s="13" t="s">
        <v>32</v>
      </c>
      <c r="H24" s="13" t="s">
        <v>112</v>
      </c>
      <c r="I24" s="18"/>
      <c r="J24" s="17"/>
      <c r="K24" s="17"/>
      <c r="L24" s="17"/>
      <c r="M24" s="18" t="s">
        <v>98</v>
      </c>
      <c r="N24" s="13" t="str">
        <f aca="true">IF(K24="","",IF(L24&lt;&gt;"",IF(L24&gt;K24,"Xong trễ "&amp;(L24-K24)&amp;" ngày","Đúng hạn"),IF(OR(M24="Đạt",M24="Không áp dụng"),"",IF(TODAY()&gt;K24,"Trễ "&amp;(TODAY()-K24)&amp;" ngày","Còn "&amp;(K24-TODAY())&amp;" ngày"))))</f>
        <v/>
      </c>
      <c r="O24" s="18"/>
      <c r="P24" s="18"/>
    </row>
    <row r="25" customFormat="false" ht="28.5" hidden="false" customHeight="true" outlineLevel="0" collapsed="false">
      <c r="A25" s="13" t="s">
        <v>176</v>
      </c>
      <c r="B25" s="13" t="s">
        <v>171</v>
      </c>
      <c r="C25" s="14" t="s">
        <v>177</v>
      </c>
      <c r="D25" s="14" t="s">
        <v>178</v>
      </c>
      <c r="E25" s="14" t="s">
        <v>179</v>
      </c>
      <c r="F25" s="14" t="s">
        <v>180</v>
      </c>
      <c r="G25" s="13" t="s">
        <v>32</v>
      </c>
      <c r="H25" s="13" t="s">
        <v>133</v>
      </c>
      <c r="I25" s="18"/>
      <c r="J25" s="17"/>
      <c r="K25" s="17"/>
      <c r="L25" s="17"/>
      <c r="M25" s="18" t="s">
        <v>98</v>
      </c>
      <c r="N25" s="13" t="str">
        <f aca="true">IF(K25="","",IF(L25&lt;&gt;"",IF(L25&gt;K25,"Xong trễ "&amp;(L25-K25)&amp;" ngày","Đúng hạn"),IF(OR(M25="Đạt",M25="Không áp dụng"),"",IF(TODAY()&gt;K25,"Trễ "&amp;(TODAY()-K25)&amp;" ngày","Còn "&amp;(K25-TODAY())&amp;" ngày"))))</f>
        <v/>
      </c>
      <c r="O25" s="18"/>
      <c r="P25" s="18"/>
    </row>
    <row r="26" customFormat="false" ht="28.5" hidden="false" customHeight="true" outlineLevel="0" collapsed="false">
      <c r="A26" s="13" t="s">
        <v>181</v>
      </c>
      <c r="B26" s="13" t="s">
        <v>171</v>
      </c>
      <c r="C26" s="14" t="s">
        <v>182</v>
      </c>
      <c r="D26" s="14" t="s">
        <v>183</v>
      </c>
      <c r="E26" s="14" t="s">
        <v>184</v>
      </c>
      <c r="F26" s="14" t="s">
        <v>185</v>
      </c>
      <c r="G26" s="13" t="s">
        <v>32</v>
      </c>
      <c r="H26" s="13" t="s">
        <v>127</v>
      </c>
      <c r="I26" s="18"/>
      <c r="J26" s="17"/>
      <c r="K26" s="17"/>
      <c r="L26" s="17"/>
      <c r="M26" s="18" t="s">
        <v>98</v>
      </c>
      <c r="N26" s="13" t="str">
        <f aca="true">IF(K26="","",IF(L26&lt;&gt;"",IF(L26&gt;K26,"Xong trễ "&amp;(L26-K26)&amp;" ngày","Đúng hạn"),IF(OR(M26="Đạt",M26="Không áp dụng"),"",IF(TODAY()&gt;K26,"Trễ "&amp;(TODAY()-K26)&amp;" ngày","Còn "&amp;(K26-TODAY())&amp;" ngày"))))</f>
        <v/>
      </c>
      <c r="O26" s="18"/>
      <c r="P26" s="18"/>
    </row>
    <row r="27" customFormat="false" ht="28.5" hidden="false" customHeight="true" outlineLevel="0" collapsed="false">
      <c r="A27" s="13" t="s">
        <v>186</v>
      </c>
      <c r="B27" s="13" t="s">
        <v>171</v>
      </c>
      <c r="C27" s="14" t="s">
        <v>187</v>
      </c>
      <c r="D27" s="14" t="s">
        <v>188</v>
      </c>
      <c r="E27" s="14" t="s">
        <v>189</v>
      </c>
      <c r="F27" s="14" t="s">
        <v>190</v>
      </c>
      <c r="G27" s="13" t="s">
        <v>34</v>
      </c>
      <c r="H27" s="13" t="s">
        <v>144</v>
      </c>
      <c r="I27" s="18"/>
      <c r="J27" s="17"/>
      <c r="K27" s="17"/>
      <c r="L27" s="17"/>
      <c r="M27" s="18" t="s">
        <v>98</v>
      </c>
      <c r="N27" s="13" t="str">
        <f aca="true">IF(K27="","",IF(L27&lt;&gt;"",IF(L27&gt;K27,"Xong trễ "&amp;(L27-K27)&amp;" ngày","Đúng hạn"),IF(OR(M27="Đạt",M27="Không áp dụng"),"",IF(TODAY()&gt;K27,"Trễ "&amp;(TODAY()-K27)&amp;" ngày","Còn "&amp;(K27-TODAY())&amp;" ngày"))))</f>
        <v/>
      </c>
      <c r="O27" s="18"/>
      <c r="P27" s="18"/>
    </row>
    <row r="28" customFormat="false" ht="28.5" hidden="false" customHeight="true" outlineLevel="0" collapsed="false">
      <c r="A28" s="13" t="s">
        <v>191</v>
      </c>
      <c r="B28" s="13" t="s">
        <v>171</v>
      </c>
      <c r="C28" s="14" t="s">
        <v>192</v>
      </c>
      <c r="D28" s="14" t="s">
        <v>193</v>
      </c>
      <c r="E28" s="14" t="s">
        <v>194</v>
      </c>
      <c r="F28" s="14" t="s">
        <v>195</v>
      </c>
      <c r="G28" s="13" t="s">
        <v>34</v>
      </c>
      <c r="H28" s="13" t="s">
        <v>144</v>
      </c>
      <c r="I28" s="18"/>
      <c r="J28" s="17"/>
      <c r="K28" s="17"/>
      <c r="L28" s="17"/>
      <c r="M28" s="18" t="s">
        <v>98</v>
      </c>
      <c r="N28" s="13" t="str">
        <f aca="true">IF(K28="","",IF(L28&lt;&gt;"",IF(L28&gt;K28,"Xong trễ "&amp;(L28-K28)&amp;" ngày","Đúng hạn"),IF(OR(M28="Đạt",M28="Không áp dụng"),"",IF(TODAY()&gt;K28,"Trễ "&amp;(TODAY()-K28)&amp;" ngày","Còn "&amp;(K28-TODAY())&amp;" ngày"))))</f>
        <v/>
      </c>
      <c r="O28" s="18"/>
      <c r="P28" s="18"/>
    </row>
    <row r="29" customFormat="false" ht="28.5" hidden="false" customHeight="true" outlineLevel="0" collapsed="false">
      <c r="A29" s="13" t="s">
        <v>196</v>
      </c>
      <c r="B29" s="13" t="s">
        <v>171</v>
      </c>
      <c r="C29" s="14" t="s">
        <v>197</v>
      </c>
      <c r="D29" s="14" t="s">
        <v>198</v>
      </c>
      <c r="E29" s="14" t="s">
        <v>199</v>
      </c>
      <c r="F29" s="14" t="s">
        <v>200</v>
      </c>
      <c r="G29" s="13" t="s">
        <v>34</v>
      </c>
      <c r="H29" s="13" t="s">
        <v>133</v>
      </c>
      <c r="I29" s="18"/>
      <c r="J29" s="17"/>
      <c r="K29" s="17"/>
      <c r="L29" s="17"/>
      <c r="M29" s="18" t="s">
        <v>98</v>
      </c>
      <c r="N29" s="13" t="str">
        <f aca="true">IF(K29="","",IF(L29&lt;&gt;"",IF(L29&gt;K29,"Xong trễ "&amp;(L29-K29)&amp;" ngày","Đúng hạn"),IF(OR(M29="Đạt",M29="Không áp dụng"),"",IF(TODAY()&gt;K29,"Trễ "&amp;(TODAY()-K29)&amp;" ngày","Còn "&amp;(K29-TODAY())&amp;" ngày"))))</f>
        <v/>
      </c>
      <c r="O29" s="18"/>
      <c r="P29" s="18"/>
    </row>
    <row r="30" customFormat="false" ht="28.5" hidden="false" customHeight="true" outlineLevel="0" collapsed="false">
      <c r="A30" s="13" t="s">
        <v>201</v>
      </c>
      <c r="B30" s="13" t="s">
        <v>202</v>
      </c>
      <c r="C30" s="14" t="s">
        <v>203</v>
      </c>
      <c r="D30" s="14" t="s">
        <v>204</v>
      </c>
      <c r="E30" s="14" t="s">
        <v>36</v>
      </c>
      <c r="F30" s="14" t="s">
        <v>205</v>
      </c>
      <c r="G30" s="13" t="s">
        <v>36</v>
      </c>
      <c r="H30" s="13" t="s">
        <v>133</v>
      </c>
      <c r="I30" s="18"/>
      <c r="J30" s="17"/>
      <c r="K30" s="17"/>
      <c r="L30" s="17"/>
      <c r="M30" s="18" t="s">
        <v>98</v>
      </c>
      <c r="N30" s="13" t="str">
        <f aca="true">IF(K30="","",IF(L30&lt;&gt;"",IF(L30&gt;K30,"Xong trễ "&amp;(L30-K30)&amp;" ngày","Đúng hạn"),IF(OR(M30="Đạt",M30="Không áp dụng"),"",IF(TODAY()&gt;K30,"Trễ "&amp;(TODAY()-K30)&amp;" ngày","Còn "&amp;(K30-TODAY())&amp;" ngày"))))</f>
        <v/>
      </c>
      <c r="O30" s="18"/>
      <c r="P30" s="18"/>
    </row>
    <row r="31" customFormat="false" ht="28.5" hidden="false" customHeight="true" outlineLevel="0" collapsed="false">
      <c r="A31" s="13" t="s">
        <v>206</v>
      </c>
      <c r="B31" s="13" t="s">
        <v>202</v>
      </c>
      <c r="C31" s="14" t="s">
        <v>207</v>
      </c>
      <c r="D31" s="14" t="s">
        <v>208</v>
      </c>
      <c r="E31" s="14" t="s">
        <v>38</v>
      </c>
      <c r="F31" s="14" t="s">
        <v>209</v>
      </c>
      <c r="G31" s="13" t="s">
        <v>38</v>
      </c>
      <c r="H31" s="13" t="s">
        <v>144</v>
      </c>
      <c r="I31" s="18"/>
      <c r="J31" s="17"/>
      <c r="K31" s="17"/>
      <c r="L31" s="17"/>
      <c r="M31" s="18" t="s">
        <v>98</v>
      </c>
      <c r="N31" s="13" t="str">
        <f aca="true">IF(K31="","",IF(L31&lt;&gt;"",IF(L31&gt;K31,"Xong trễ "&amp;(L31-K31)&amp;" ngày","Đúng hạn"),IF(OR(M31="Đạt",M31="Không áp dụng"),"",IF(TODAY()&gt;K31,"Trễ "&amp;(TODAY()-K31)&amp;" ngày","Còn "&amp;(K31-TODAY())&amp;" ngày"))))</f>
        <v/>
      </c>
      <c r="O31" s="18"/>
      <c r="P31" s="18"/>
    </row>
    <row r="32" customFormat="false" ht="15.75" hidden="false" customHeight="true" outlineLevel="0" collapsed="false">
      <c r="A32" s="13" t="s">
        <v>210</v>
      </c>
      <c r="B32" s="13" t="s">
        <v>211</v>
      </c>
      <c r="C32" s="14" t="s">
        <v>212</v>
      </c>
      <c r="D32" s="14" t="s">
        <v>213</v>
      </c>
      <c r="E32" s="14" t="s">
        <v>214</v>
      </c>
      <c r="F32" s="14" t="s">
        <v>215</v>
      </c>
      <c r="G32" s="13" t="s">
        <v>12</v>
      </c>
      <c r="H32" s="13" t="s">
        <v>90</v>
      </c>
      <c r="I32" s="18"/>
      <c r="J32" s="17"/>
      <c r="K32" s="17"/>
      <c r="L32" s="17"/>
      <c r="M32" s="18" t="s">
        <v>98</v>
      </c>
      <c r="N32" s="13" t="str">
        <f aca="true">IF(K32="","",IF(L32&lt;&gt;"",IF(L32&gt;K32,"Xong trễ "&amp;(L32-K32)&amp;" ngày","Đúng hạn"),IF(OR(M32="Đạt",M32="Không áp dụng"),"",IF(TODAY()&gt;K32,"Trễ "&amp;(TODAY()-K32)&amp;" ngày","Còn "&amp;(K32-TODAY())&amp;" ngày"))))</f>
        <v/>
      </c>
      <c r="O32" s="18"/>
      <c r="P32" s="18"/>
    </row>
    <row r="33" customFormat="false" ht="28.5" hidden="false" customHeight="true" outlineLevel="0" collapsed="false">
      <c r="A33" s="13" t="s">
        <v>216</v>
      </c>
      <c r="B33" s="13" t="s">
        <v>211</v>
      </c>
      <c r="C33" s="14" t="s">
        <v>217</v>
      </c>
      <c r="D33" s="14" t="s">
        <v>218</v>
      </c>
      <c r="E33" s="14" t="s">
        <v>219</v>
      </c>
      <c r="F33" s="14" t="s">
        <v>220</v>
      </c>
      <c r="G33" s="13" t="s">
        <v>12</v>
      </c>
      <c r="H33" s="13" t="s">
        <v>133</v>
      </c>
      <c r="I33" s="18"/>
      <c r="J33" s="17"/>
      <c r="K33" s="17"/>
      <c r="L33" s="17"/>
      <c r="M33" s="18" t="s">
        <v>98</v>
      </c>
      <c r="N33" s="13" t="str">
        <f aca="true">IF(K33="","",IF(L33&lt;&gt;"",IF(L33&gt;K33,"Xong trễ "&amp;(L33-K33)&amp;" ngày","Đúng hạn"),IF(OR(M33="Đạt",M33="Không áp dụng"),"",IF(TODAY()&gt;K33,"Trễ "&amp;(TODAY()-K33)&amp;" ngày","Còn "&amp;(K33-TODAY())&amp;" ngày"))))</f>
        <v/>
      </c>
      <c r="O33" s="18"/>
      <c r="P33" s="18"/>
    </row>
    <row r="34" customFormat="false" ht="28.5" hidden="false" customHeight="true" outlineLevel="0" collapsed="false">
      <c r="A34" s="13" t="s">
        <v>221</v>
      </c>
      <c r="B34" s="13" t="s">
        <v>211</v>
      </c>
      <c r="C34" s="14" t="s">
        <v>222</v>
      </c>
      <c r="D34" s="14" t="s">
        <v>223</v>
      </c>
      <c r="E34" s="14" t="s">
        <v>40</v>
      </c>
      <c r="F34" s="14" t="s">
        <v>224</v>
      </c>
      <c r="G34" s="13" t="s">
        <v>40</v>
      </c>
      <c r="H34" s="13" t="s">
        <v>225</v>
      </c>
      <c r="I34" s="18"/>
      <c r="J34" s="17"/>
      <c r="K34" s="17"/>
      <c r="L34" s="17"/>
      <c r="M34" s="18" t="s">
        <v>98</v>
      </c>
      <c r="N34" s="13" t="str">
        <f aca="true">IF(K34="","",IF(L34&lt;&gt;"",IF(L34&gt;K34,"Xong trễ "&amp;(L34-K34)&amp;" ngày","Đúng hạn"),IF(OR(M34="Đạt",M34="Không áp dụng"),"",IF(TODAY()&gt;K34,"Trễ "&amp;(TODAY()-K34)&amp;" ngày","Còn "&amp;(K34-TODAY())&amp;" ngày"))))</f>
        <v/>
      </c>
      <c r="O34" s="18"/>
      <c r="P34" s="18"/>
    </row>
    <row r="35" customFormat="false" ht="28.5" hidden="false" customHeight="true" outlineLevel="0" collapsed="false">
      <c r="A35" s="13" t="s">
        <v>226</v>
      </c>
      <c r="B35" s="13" t="s">
        <v>211</v>
      </c>
      <c r="C35" s="14" t="s">
        <v>227</v>
      </c>
      <c r="D35" s="14" t="s">
        <v>228</v>
      </c>
      <c r="E35" s="14" t="s">
        <v>229</v>
      </c>
      <c r="F35" s="14" t="s">
        <v>230</v>
      </c>
      <c r="G35" s="13" t="s">
        <v>231</v>
      </c>
      <c r="H35" s="13" t="s">
        <v>232</v>
      </c>
      <c r="I35" s="18"/>
      <c r="J35" s="17"/>
      <c r="K35" s="17"/>
      <c r="L35" s="17"/>
      <c r="M35" s="18" t="s">
        <v>98</v>
      </c>
      <c r="N35" s="13" t="str">
        <f aca="true">IF(K35="","",IF(L35&lt;&gt;"",IF(L35&gt;K35,"Xong trễ "&amp;(L35-K35)&amp;" ngày","Đúng hạn"),IF(OR(M35="Đạt",M35="Không áp dụng"),"",IF(TODAY()&gt;K35,"Trễ "&amp;(TODAY()-K35)&amp;" ngày","Còn "&amp;(K35-TODAY())&amp;" ngày"))))</f>
        <v/>
      </c>
      <c r="O35" s="18"/>
      <c r="P35" s="18"/>
    </row>
    <row r="36" customFormat="false" ht="28.5" hidden="false" customHeight="true" outlineLevel="0" collapsed="false">
      <c r="A36" s="13" t="s">
        <v>233</v>
      </c>
      <c r="B36" s="13" t="s">
        <v>234</v>
      </c>
      <c r="C36" s="14" t="s">
        <v>235</v>
      </c>
      <c r="D36" s="14" t="s">
        <v>236</v>
      </c>
      <c r="E36" s="14" t="s">
        <v>237</v>
      </c>
      <c r="F36" s="14" t="s">
        <v>238</v>
      </c>
      <c r="G36" s="13" t="s">
        <v>42</v>
      </c>
      <c r="H36" s="13" t="s">
        <v>104</v>
      </c>
      <c r="I36" s="18"/>
      <c r="J36" s="17"/>
      <c r="K36" s="17"/>
      <c r="L36" s="17"/>
      <c r="M36" s="18" t="s">
        <v>98</v>
      </c>
      <c r="N36" s="13" t="str">
        <f aca="true">IF(K36="","",IF(L36&lt;&gt;"",IF(L36&gt;K36,"Xong trễ "&amp;(L36-K36)&amp;" ngày","Đúng hạn"),IF(OR(M36="Đạt",M36="Không áp dụng"),"",IF(TODAY()&gt;K36,"Trễ "&amp;(TODAY()-K36)&amp;" ngày","Còn "&amp;(K36-TODAY())&amp;" ngày"))))</f>
        <v/>
      </c>
      <c r="O36" s="18"/>
      <c r="P36" s="18"/>
    </row>
    <row r="37" customFormat="false" ht="28.5" hidden="false" customHeight="true" outlineLevel="0" collapsed="false">
      <c r="A37" s="13" t="s">
        <v>239</v>
      </c>
      <c r="B37" s="13" t="s">
        <v>234</v>
      </c>
      <c r="C37" s="14" t="s">
        <v>240</v>
      </c>
      <c r="D37" s="14" t="s">
        <v>241</v>
      </c>
      <c r="E37" s="14" t="s">
        <v>242</v>
      </c>
      <c r="F37" s="14" t="s">
        <v>243</v>
      </c>
      <c r="G37" s="13" t="s">
        <v>42</v>
      </c>
      <c r="H37" s="13" t="s">
        <v>104</v>
      </c>
      <c r="I37" s="18"/>
      <c r="J37" s="17"/>
      <c r="K37" s="17"/>
      <c r="L37" s="17"/>
      <c r="M37" s="18" t="s">
        <v>98</v>
      </c>
      <c r="N37" s="13" t="str">
        <f aca="true">IF(K37="","",IF(L37&lt;&gt;"",IF(L37&gt;K37,"Xong trễ "&amp;(L37-K37)&amp;" ngày","Đúng hạn"),IF(OR(M37="Đạt",M37="Không áp dụng"),"",IF(TODAY()&gt;K37,"Trễ "&amp;(TODAY()-K37)&amp;" ngày","Còn "&amp;(K37-TODAY())&amp;" ngày"))))</f>
        <v/>
      </c>
      <c r="O37" s="18"/>
      <c r="P37" s="18"/>
    </row>
    <row r="38" customFormat="false" ht="28.5" hidden="false" customHeight="true" outlineLevel="0" collapsed="false">
      <c r="A38" s="13" t="s">
        <v>244</v>
      </c>
      <c r="B38" s="13" t="s">
        <v>234</v>
      </c>
      <c r="C38" s="14" t="s">
        <v>245</v>
      </c>
      <c r="D38" s="14" t="s">
        <v>246</v>
      </c>
      <c r="E38" s="14" t="s">
        <v>247</v>
      </c>
      <c r="F38" s="14" t="s">
        <v>248</v>
      </c>
      <c r="G38" s="13" t="s">
        <v>42</v>
      </c>
      <c r="H38" s="13" t="s">
        <v>155</v>
      </c>
      <c r="I38" s="18"/>
      <c r="J38" s="17"/>
      <c r="K38" s="17"/>
      <c r="L38" s="17"/>
      <c r="M38" s="18" t="s">
        <v>98</v>
      </c>
      <c r="N38" s="13" t="str">
        <f aca="true">IF(K38="","",IF(L38&lt;&gt;"",IF(L38&gt;K38,"Xong trễ "&amp;(L38-K38)&amp;" ngày","Đúng hạn"),IF(OR(M38="Đạt",M38="Không áp dụng"),"",IF(TODAY()&gt;K38,"Trễ "&amp;(TODAY()-K38)&amp;" ngày","Còn "&amp;(K38-TODAY())&amp;" ngày"))))</f>
        <v/>
      </c>
      <c r="O38" s="18"/>
      <c r="P38" s="18"/>
    </row>
    <row r="40" customFormat="false" ht="15" hidden="false" customHeight="false" outlineLevel="0" collapsed="false">
      <c r="C40" s="19" t="s">
        <v>249</v>
      </c>
    </row>
    <row r="41" customFormat="false" ht="28.5" hidden="false" customHeight="true" outlineLevel="0" collapsed="false">
      <c r="C41" s="12" t="s">
        <v>75</v>
      </c>
      <c r="D41" s="12" t="s">
        <v>250</v>
      </c>
      <c r="E41" s="12" t="s">
        <v>251</v>
      </c>
      <c r="F41" s="12" t="s">
        <v>252</v>
      </c>
      <c r="G41" s="12" t="s">
        <v>253</v>
      </c>
      <c r="H41" s="12" t="s">
        <v>254</v>
      </c>
      <c r="I41" s="12" t="s">
        <v>44</v>
      </c>
    </row>
    <row r="42" customFormat="false" ht="15.75" hidden="false" customHeight="true" outlineLevel="0" collapsed="false">
      <c r="C42" s="14" t="s">
        <v>91</v>
      </c>
      <c r="D42" s="13" t="n">
        <f aca="false">COUNTIF($B$5:$B$38,C42)</f>
        <v>3</v>
      </c>
      <c r="E42" s="13" t="n">
        <f aca="false">COUNTIFS($B$5:$B$38,$C42,$M$5:$M$38,"Đạt")</f>
        <v>0</v>
      </c>
      <c r="F42" s="13" t="n">
        <f aca="false">COUNTIFS($B$5:$B$38,$C42,$M$5:$M$38,"Đang làm")</f>
        <v>0</v>
      </c>
      <c r="G42" s="13" t="n">
        <f aca="false">COUNTIFS($B$5:$B$38,$C42,$M$5:$M$38,"Không đạt")</f>
        <v>0</v>
      </c>
      <c r="H42" s="13" t="n">
        <f aca="false">COUNTIFS($B$5:$B$38,$C42,$M$5:$M$38,"Không áp dụng")</f>
        <v>0</v>
      </c>
      <c r="I42" s="20" t="n">
        <f aca="false">IFERROR(E42/(D42-H42),0)</f>
        <v>0</v>
      </c>
    </row>
    <row r="43" customFormat="false" ht="15.75" hidden="false" customHeight="true" outlineLevel="0" collapsed="false">
      <c r="C43" s="14" t="s">
        <v>110</v>
      </c>
      <c r="D43" s="13" t="n">
        <f aca="false">COUNTIF($B$5:$B$38,C43)</f>
        <v>8</v>
      </c>
      <c r="E43" s="13" t="n">
        <f aca="false">COUNTIFS($B$5:$B$38,$C43,$M$5:$M$38,"Đạt")</f>
        <v>0</v>
      </c>
      <c r="F43" s="13" t="n">
        <f aca="false">COUNTIFS($B$5:$B$38,$C43,$M$5:$M$38,"Đang làm")</f>
        <v>0</v>
      </c>
      <c r="G43" s="13" t="n">
        <f aca="false">COUNTIFS($B$5:$B$38,$C43,$M$5:$M$38,"Không đạt")</f>
        <v>0</v>
      </c>
      <c r="H43" s="13" t="n">
        <f aca="false">COUNTIFS($B$5:$B$38,$C43,$M$5:$M$38,"Không áp dụng")</f>
        <v>0</v>
      </c>
      <c r="I43" s="20" t="n">
        <f aca="false">IFERROR(E43/(D43-H43),0)</f>
        <v>0</v>
      </c>
    </row>
    <row r="44" customFormat="false" ht="15.75" hidden="false" customHeight="true" outlineLevel="0" collapsed="false">
      <c r="C44" s="14" t="s">
        <v>128</v>
      </c>
      <c r="D44" s="13" t="n">
        <f aca="false">COUNTIF($B$5:$B$38,C44)</f>
        <v>3</v>
      </c>
      <c r="E44" s="13" t="n">
        <f aca="false">COUNTIFS($B$5:$B$38,$C44,$M$5:$M$38,"Đạt")</f>
        <v>0</v>
      </c>
      <c r="F44" s="13" t="n">
        <f aca="false">COUNTIFS($B$5:$B$38,$C44,$M$5:$M$38,"Đang làm")</f>
        <v>0</v>
      </c>
      <c r="G44" s="13" t="n">
        <f aca="false">COUNTIFS($B$5:$B$38,$C44,$M$5:$M$38,"Không đạt")</f>
        <v>0</v>
      </c>
      <c r="H44" s="13" t="n">
        <f aca="false">COUNTIFS($B$5:$B$38,$C44,$M$5:$M$38,"Không áp dụng")</f>
        <v>0</v>
      </c>
      <c r="I44" s="20" t="n">
        <f aca="false">IFERROR(E44/(D44-H44),0)</f>
        <v>0</v>
      </c>
    </row>
    <row r="45" customFormat="false" ht="15.75" hidden="false" customHeight="true" outlineLevel="0" collapsed="false">
      <c r="C45" s="14" t="s">
        <v>145</v>
      </c>
      <c r="D45" s="13" t="n">
        <f aca="false">COUNTIF($B$5:$B$38,C45)</f>
        <v>5</v>
      </c>
      <c r="E45" s="13" t="n">
        <f aca="false">COUNTIFS($B$5:$B$38,$C45,$M$5:$M$38,"Đạt")</f>
        <v>0</v>
      </c>
      <c r="F45" s="13" t="n">
        <f aca="false">COUNTIFS($B$5:$B$38,$C45,$M$5:$M$38,"Đang làm")</f>
        <v>0</v>
      </c>
      <c r="G45" s="13" t="n">
        <f aca="false">COUNTIFS($B$5:$B$38,$C45,$M$5:$M$38,"Không đạt")</f>
        <v>0</v>
      </c>
      <c r="H45" s="13" t="n">
        <f aca="false">COUNTIFS($B$5:$B$38,$C45,$M$5:$M$38,"Không áp dụng")</f>
        <v>0</v>
      </c>
      <c r="I45" s="20" t="n">
        <f aca="false">IFERROR(E45/(D45-H45),0)</f>
        <v>0</v>
      </c>
    </row>
    <row r="46" customFormat="false" ht="15.75" hidden="false" customHeight="true" outlineLevel="0" collapsed="false">
      <c r="C46" s="14" t="s">
        <v>171</v>
      </c>
      <c r="D46" s="13" t="n">
        <f aca="false">COUNTIF($B$5:$B$38,C46)</f>
        <v>6</v>
      </c>
      <c r="E46" s="13" t="n">
        <f aca="false">COUNTIFS($B$5:$B$38,$C46,$M$5:$M$38,"Đạt")</f>
        <v>0</v>
      </c>
      <c r="F46" s="13" t="n">
        <f aca="false">COUNTIFS($B$5:$B$38,$C46,$M$5:$M$38,"Đang làm")</f>
        <v>0</v>
      </c>
      <c r="G46" s="13" t="n">
        <f aca="false">COUNTIFS($B$5:$B$38,$C46,$M$5:$M$38,"Không đạt")</f>
        <v>0</v>
      </c>
      <c r="H46" s="13" t="n">
        <f aca="false">COUNTIFS($B$5:$B$38,$C46,$M$5:$M$38,"Không áp dụng")</f>
        <v>0</v>
      </c>
      <c r="I46" s="20" t="n">
        <f aca="false">IFERROR(E46/(D46-H46),0)</f>
        <v>0</v>
      </c>
    </row>
    <row r="47" customFormat="false" ht="15.75" hidden="false" customHeight="true" outlineLevel="0" collapsed="false">
      <c r="C47" s="14" t="s">
        <v>202</v>
      </c>
      <c r="D47" s="13" t="n">
        <f aca="false">COUNTIF($B$5:$B$38,C47)</f>
        <v>2</v>
      </c>
      <c r="E47" s="13" t="n">
        <f aca="false">COUNTIFS($B$5:$B$38,$C47,$M$5:$M$38,"Đạt")</f>
        <v>0</v>
      </c>
      <c r="F47" s="13" t="n">
        <f aca="false">COUNTIFS($B$5:$B$38,$C47,$M$5:$M$38,"Đang làm")</f>
        <v>0</v>
      </c>
      <c r="G47" s="13" t="n">
        <f aca="false">COUNTIFS($B$5:$B$38,$C47,$M$5:$M$38,"Không đạt")</f>
        <v>0</v>
      </c>
      <c r="H47" s="13" t="n">
        <f aca="false">COUNTIFS($B$5:$B$38,$C47,$M$5:$M$38,"Không áp dụng")</f>
        <v>0</v>
      </c>
      <c r="I47" s="20" t="n">
        <f aca="false">IFERROR(E47/(D47-H47),0)</f>
        <v>0</v>
      </c>
    </row>
    <row r="48" customFormat="false" ht="15.75" hidden="false" customHeight="true" outlineLevel="0" collapsed="false">
      <c r="C48" s="14" t="s">
        <v>211</v>
      </c>
      <c r="D48" s="13" t="n">
        <f aca="false">COUNTIF($B$5:$B$38,C48)</f>
        <v>4</v>
      </c>
      <c r="E48" s="13" t="n">
        <f aca="false">COUNTIFS($B$5:$B$38,$C48,$M$5:$M$38,"Đạt")</f>
        <v>0</v>
      </c>
      <c r="F48" s="13" t="n">
        <f aca="false">COUNTIFS($B$5:$B$38,$C48,$M$5:$M$38,"Đang làm")</f>
        <v>0</v>
      </c>
      <c r="G48" s="13" t="n">
        <f aca="false">COUNTIFS($B$5:$B$38,$C48,$M$5:$M$38,"Không đạt")</f>
        <v>0</v>
      </c>
      <c r="H48" s="13" t="n">
        <f aca="false">COUNTIFS($B$5:$B$38,$C48,$M$5:$M$38,"Không áp dụng")</f>
        <v>0</v>
      </c>
      <c r="I48" s="20" t="n">
        <f aca="false">IFERROR(E48/(D48-H48),0)</f>
        <v>0</v>
      </c>
    </row>
    <row r="49" customFormat="false" ht="28.5" hidden="false" customHeight="true" outlineLevel="0" collapsed="false">
      <c r="C49" s="14" t="s">
        <v>234</v>
      </c>
      <c r="D49" s="13" t="n">
        <f aca="false">COUNTIF($B$5:$B$38,C49)</f>
        <v>3</v>
      </c>
      <c r="E49" s="13" t="n">
        <f aca="false">COUNTIFS($B$5:$B$38,$C49,$M$5:$M$38,"Đạt")</f>
        <v>0</v>
      </c>
      <c r="F49" s="13" t="n">
        <f aca="false">COUNTIFS($B$5:$B$38,$C49,$M$5:$M$38,"Đang làm")</f>
        <v>0</v>
      </c>
      <c r="G49" s="13" t="n">
        <f aca="false">COUNTIFS($B$5:$B$38,$C49,$M$5:$M$38,"Không đạt")</f>
        <v>0</v>
      </c>
      <c r="H49" s="13" t="n">
        <f aca="false">COUNTIFS($B$5:$B$38,$C49,$M$5:$M$38,"Không áp dụng")</f>
        <v>0</v>
      </c>
      <c r="I49" s="20" t="n">
        <f aca="false">IFERROR(E49/(D49-H49),0)</f>
        <v>0</v>
      </c>
    </row>
    <row r="50" customFormat="false" ht="15.75" hidden="false" customHeight="true" outlineLevel="0" collapsed="false">
      <c r="C50" s="19" t="s">
        <v>255</v>
      </c>
      <c r="D50" s="21" t="n">
        <f aca="false">SUM(D42:D49)</f>
        <v>34</v>
      </c>
      <c r="E50" s="21" t="n">
        <f aca="false">SUM(E42:E49)</f>
        <v>0</v>
      </c>
      <c r="F50" s="21" t="n">
        <f aca="false">SUM(F42:F49)</f>
        <v>0</v>
      </c>
      <c r="G50" s="21" t="n">
        <f aca="false">SUM(G42:G49)</f>
        <v>0</v>
      </c>
      <c r="H50" s="21" t="n">
        <f aca="false">SUM(H42:H49)</f>
        <v>0</v>
      </c>
      <c r="I50" s="22" t="n">
        <f aca="false">IFERROR(E50/(D50-H50),0)</f>
        <v>0</v>
      </c>
    </row>
    <row r="51" customFormat="false" ht="15.75" hidden="false" customHeight="true" outlineLevel="0" collapsed="false">
      <c r="C51" s="19" t="s">
        <v>49</v>
      </c>
      <c r="D51" s="21" t="n">
        <f aca="false">COUNTIF(N5:N38,"Trễ *")</f>
        <v>0</v>
      </c>
    </row>
  </sheetData>
  <conditionalFormatting sqref="M5:M38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  <cfRule type="cellIs" priority="4" operator="equal" aboveAverage="0" equalAverage="0" bottom="0" percent="0" rank="0" text="" dxfId="2">
      <formula>"Đang làm"</formula>
    </cfRule>
  </conditionalFormatting>
  <conditionalFormatting sqref="N5:N38">
    <cfRule type="expression" priority="5" aboveAverage="0" equalAverage="0" bottom="0" percent="0" rank="0" text="" dxfId="1">
      <formula>LEFT(N5,4)="Trễ "</formula>
    </cfRule>
    <cfRule type="expression" priority="6" aboveAverage="0" equalAverage="0" bottom="0" percent="0" rank="0" text="" dxfId="2">
      <formula>LEFT(N5,4)="Xong"</formula>
    </cfRule>
  </conditionalFormatting>
  <dataValidations count="1">
    <dataValidation allowBlank="true" errorStyle="stop" operator="between" showDropDown="false" showErrorMessage="false" showInputMessage="false" sqref="M5:M7 M16:M38" type="list">
      <formula1>"Chưa làm,Đang làm,Đạt,Không đạt,Không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8" min="6" style="0" width="11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7" min="15" style="0" width="10"/>
    <col collapsed="false" customWidth="true" hidden="false" outlineLevel="0" max="18" min="18" style="0" width="18"/>
    <col collapsed="false" customWidth="true" hidden="false" outlineLevel="0" max="19" min="19" style="0" width="30"/>
  </cols>
  <sheetData>
    <row r="1" customFormat="false" ht="17.25" hidden="false" customHeight="true" outlineLevel="0" collapsed="false">
      <c r="A1" s="2" t="s">
        <v>256</v>
      </c>
    </row>
    <row r="2" customFormat="false" ht="15" hidden="false" customHeight="true" outlineLevel="0" collapsed="false">
      <c r="A2" s="3" t="s">
        <v>257</v>
      </c>
    </row>
    <row r="4" customFormat="false" ht="28.5" hidden="false" customHeight="true" outlineLevel="0" collapsed="false">
      <c r="A4" s="12" t="s">
        <v>74</v>
      </c>
      <c r="B4" s="12" t="s">
        <v>75</v>
      </c>
      <c r="C4" s="12" t="s">
        <v>258</v>
      </c>
      <c r="D4" s="12" t="s">
        <v>259</v>
      </c>
      <c r="E4" s="12" t="s">
        <v>260</v>
      </c>
      <c r="F4" s="12" t="s">
        <v>261</v>
      </c>
      <c r="G4" s="12" t="s">
        <v>262</v>
      </c>
      <c r="H4" s="12" t="s">
        <v>263</v>
      </c>
      <c r="I4" s="12" t="s">
        <v>264</v>
      </c>
      <c r="J4" s="12" t="s">
        <v>265</v>
      </c>
      <c r="K4" s="12" t="s">
        <v>266</v>
      </c>
      <c r="L4" s="12" t="s">
        <v>267</v>
      </c>
      <c r="M4" s="12" t="s">
        <v>268</v>
      </c>
      <c r="N4" s="12" t="s">
        <v>269</v>
      </c>
      <c r="O4" s="12" t="s">
        <v>270</v>
      </c>
      <c r="P4" s="12" t="s">
        <v>271</v>
      </c>
      <c r="Q4" s="12" t="s">
        <v>272</v>
      </c>
      <c r="R4" s="12" t="s">
        <v>273</v>
      </c>
      <c r="S4" s="12" t="s">
        <v>89</v>
      </c>
    </row>
    <row r="5" customFormat="false" ht="15.75" hidden="false" customHeight="true" outlineLevel="0" collapsed="false">
      <c r="A5" s="13" t="s">
        <v>274</v>
      </c>
      <c r="B5" s="13" t="s">
        <v>275</v>
      </c>
      <c r="C5" s="14" t="s">
        <v>276</v>
      </c>
      <c r="D5" s="13" t="s">
        <v>96</v>
      </c>
      <c r="E5" s="13" t="s">
        <v>277</v>
      </c>
      <c r="F5" s="23" t="n">
        <f aca="false">IF('Bao cao category'!J15="","",'Bao cao category'!J15)</f>
        <v>0.935</v>
      </c>
      <c r="G5" s="24"/>
      <c r="H5" s="23" t="str">
        <f aca="false">IF(OR(F5="",G5=""),"",G5-F5)</f>
        <v/>
      </c>
      <c r="I5" s="25" t="str">
        <f aca="false">IF(OR(F5="",G5=""),"",IFERROR((G5-F5)/ABS(F5),""))</f>
        <v/>
      </c>
      <c r="J5" s="24"/>
      <c r="K5" s="26" t="n">
        <v>0.005</v>
      </c>
      <c r="L5" s="13" t="str">
        <f aca="false">IF(OR(G5="",J5=""),"",IF(E5="Thấp",IF(G5&lt;=J5,"Có","Không"),IF(G5&gt;=J5,"Có","Không")))</f>
        <v/>
      </c>
      <c r="M5" s="13" t="str">
        <f aca="false">IF(OR(F5="",G5="",K5=""),"",IF(E5="Thấp",IF(G5&lt;=F5+K5,"Có","Không"),IF(G5&gt;=F5-K5,"Có","Không")))</f>
        <v/>
      </c>
      <c r="N5" s="13" t="str">
        <f aca="false">IF(G5="","Chưa đo",IF(OR(L5="Không",M5="Không"),"Không đạt",IF(AND(L5="",M5=""),"Chưa có tiêu chí","Đạt")))</f>
        <v>Chưa đo</v>
      </c>
      <c r="O5" s="24"/>
      <c r="P5" s="24"/>
      <c r="Q5" s="13" t="str">
        <f aca="false">IF(OR(O5="",P5=""),"",IF(OR(O5&gt;0,P5&lt;0),"Có","Không"))</f>
        <v/>
      </c>
      <c r="R5" s="13" t="s">
        <v>24</v>
      </c>
      <c r="S5" s="18"/>
    </row>
    <row r="6" customFormat="false" ht="15.75" hidden="false" customHeight="true" outlineLevel="0" collapsed="false">
      <c r="A6" s="13" t="s">
        <v>278</v>
      </c>
      <c r="B6" s="13" t="s">
        <v>275</v>
      </c>
      <c r="C6" s="14" t="s">
        <v>279</v>
      </c>
      <c r="D6" s="13" t="s">
        <v>96</v>
      </c>
      <c r="E6" s="13" t="s">
        <v>277</v>
      </c>
      <c r="F6" s="23" t="n">
        <f aca="false">IF('Bao cao category'!K15="","",'Bao cao category'!K15)</f>
        <v>0.97</v>
      </c>
      <c r="G6" s="24"/>
      <c r="H6" s="23" t="str">
        <f aca="false">IF(OR(F6="",G6=""),"",G6-F6)</f>
        <v/>
      </c>
      <c r="I6" s="25" t="str">
        <f aca="false">IF(OR(F6="",G6=""),"",IFERROR((G6-F6)/ABS(F6),""))</f>
        <v/>
      </c>
      <c r="J6" s="24"/>
      <c r="K6" s="26" t="n">
        <v>0.005</v>
      </c>
      <c r="L6" s="13" t="str">
        <f aca="false">IF(OR(G6="",J6=""),"",IF(E6="Thấp",IF(G6&lt;=J6,"Có","Không"),IF(G6&gt;=J6,"Có","Không")))</f>
        <v/>
      </c>
      <c r="M6" s="13" t="str">
        <f aca="false">IF(OR(F6="",G6="",K6=""),"",IF(E6="Thấp",IF(G6&lt;=F6+K6,"Có","Không"),IF(G6&gt;=F6-K6,"Có","Không")))</f>
        <v/>
      </c>
      <c r="N6" s="13" t="str">
        <f aca="false">IF(G6="","Chưa đo",IF(OR(L6="Không",M6="Không"),"Không đạt",IF(AND(L6="",M6=""),"Chưa có tiêu chí","Đạt")))</f>
        <v>Chưa đo</v>
      </c>
      <c r="O6" s="24"/>
      <c r="P6" s="24"/>
      <c r="Q6" s="13" t="str">
        <f aca="false">IF(OR(O6="",P6=""),"",IF(OR(O6&gt;0,P6&lt;0),"Có","Không"))</f>
        <v/>
      </c>
      <c r="R6" s="13" t="s">
        <v>24</v>
      </c>
      <c r="S6" s="18"/>
    </row>
    <row r="7" customFormat="false" ht="15.75" hidden="false" customHeight="true" outlineLevel="0" collapsed="false">
      <c r="A7" s="13" t="s">
        <v>280</v>
      </c>
      <c r="B7" s="13" t="s">
        <v>275</v>
      </c>
      <c r="C7" s="14" t="s">
        <v>281</v>
      </c>
      <c r="D7" s="13" t="s">
        <v>96</v>
      </c>
      <c r="E7" s="13" t="s">
        <v>282</v>
      </c>
      <c r="F7" s="23" t="n">
        <f aca="false">IF('Bao cao category'!N15="","",'Bao cao category'!N15)</f>
        <v>0.045</v>
      </c>
      <c r="G7" s="24"/>
      <c r="H7" s="23" t="str">
        <f aca="false">IF(OR(F7="",G7=""),"",G7-F7)</f>
        <v/>
      </c>
      <c r="I7" s="25" t="str">
        <f aca="false">IF(OR(F7="",G7=""),"",IFERROR((G7-F7)/ABS(F7),""))</f>
        <v/>
      </c>
      <c r="J7" s="24"/>
      <c r="K7" s="26" t="n">
        <v>0.005</v>
      </c>
      <c r="L7" s="13" t="str">
        <f aca="false">IF(OR(G7="",J7=""),"",IF(E7="Thấp",IF(G7&lt;=J7,"Có","Không"),IF(G7&gt;=J7,"Có","Không")))</f>
        <v/>
      </c>
      <c r="M7" s="13" t="str">
        <f aca="false">IF(OR(F7="",G7="",K7=""),"",IF(E7="Thấp",IF(G7&lt;=F7+K7,"Có","Không"),IF(G7&gt;=F7-K7,"Có","Không")))</f>
        <v/>
      </c>
      <c r="N7" s="13" t="str">
        <f aca="false">IF(G7="","Chưa đo",IF(OR(L7="Không",M7="Không"),"Không đạt",IF(AND(L7="",M7=""),"Chưa có tiêu chí","Đạt")))</f>
        <v>Chưa đo</v>
      </c>
      <c r="O7" s="24"/>
      <c r="P7" s="24"/>
      <c r="Q7" s="13" t="str">
        <f aca="false">IF(OR(O7="",P7=""),"",IF(OR(O7&gt;0,P7&lt;0),"Có","Không"))</f>
        <v/>
      </c>
      <c r="R7" s="13" t="s">
        <v>24</v>
      </c>
      <c r="S7" s="18"/>
    </row>
    <row r="8" customFormat="false" ht="15.75" hidden="false" customHeight="true" outlineLevel="0" collapsed="false">
      <c r="A8" s="13" t="s">
        <v>283</v>
      </c>
      <c r="B8" s="13" t="s">
        <v>275</v>
      </c>
      <c r="C8" s="14" t="s">
        <v>284</v>
      </c>
      <c r="D8" s="13" t="s">
        <v>285</v>
      </c>
      <c r="E8" s="13" t="s">
        <v>282</v>
      </c>
      <c r="F8" s="27" t="n">
        <f aca="false">IF('Bao cao category'!D15="","",'Bao cao category'!D15)</f>
        <v>0.04</v>
      </c>
      <c r="G8" s="28"/>
      <c r="H8" s="25" t="str">
        <f aca="false">IF(OR(F8="",G8=""),"",G8-F8)</f>
        <v/>
      </c>
      <c r="I8" s="25" t="str">
        <f aca="false">IF(OR(F8="",G8=""),"",IFERROR((G8-F8)/ABS(F8),""))</f>
        <v/>
      </c>
      <c r="J8" s="28"/>
      <c r="K8" s="29" t="n">
        <v>0.01</v>
      </c>
      <c r="L8" s="13" t="str">
        <f aca="false">IF(OR(G8="",J8=""),"",IF(E8="Thấp",IF(G8&lt;=J8,"Có","Không"),IF(G8&gt;=J8,"Có","Không")))</f>
        <v/>
      </c>
      <c r="M8" s="13" t="str">
        <f aca="false">IF(OR(F8="",G8="",K8=""),"",IF(E8="Thấp",IF(G8&lt;=F8+K8,"Có","Không"),IF(G8&gt;=F8-K8,"Có","Không")))</f>
        <v/>
      </c>
      <c r="N8" s="13" t="str">
        <f aca="false">IF(G8="","Chưa đo",IF(OR(L8="Không",M8="Không"),"Không đạt",IF(AND(L8="",M8=""),"Chưa có tiêu chí","Đạt")))</f>
        <v>Chưa đo</v>
      </c>
      <c r="O8" s="28"/>
      <c r="P8" s="28"/>
      <c r="Q8" s="13" t="str">
        <f aca="false">IF(OR(O8="",P8=""),"",IF(OR(O8&gt;0,P8&lt;0),"Có","Không"))</f>
        <v/>
      </c>
      <c r="R8" s="13" t="s">
        <v>24</v>
      </c>
      <c r="S8" s="18"/>
    </row>
    <row r="9" customFormat="false" ht="15.75" hidden="false" customHeight="true" outlineLevel="0" collapsed="false">
      <c r="A9" s="13" t="s">
        <v>286</v>
      </c>
      <c r="B9" s="13" t="s">
        <v>275</v>
      </c>
      <c r="C9" s="14" t="s">
        <v>287</v>
      </c>
      <c r="D9" s="13" t="s">
        <v>285</v>
      </c>
      <c r="E9" s="13" t="s">
        <v>282</v>
      </c>
      <c r="F9" s="27" t="n">
        <f aca="false">IF('Bao cao category'!E15="","",'Bao cao category'!E15)</f>
        <v>0.06</v>
      </c>
      <c r="G9" s="28"/>
      <c r="H9" s="25" t="str">
        <f aca="false">IF(OR(F9="",G9=""),"",G9-F9)</f>
        <v/>
      </c>
      <c r="I9" s="25" t="str">
        <f aca="false">IF(OR(F9="",G9=""),"",IFERROR((G9-F9)/ABS(F9),""))</f>
        <v/>
      </c>
      <c r="J9" s="28"/>
      <c r="K9" s="29" t="n">
        <v>0.01</v>
      </c>
      <c r="L9" s="13" t="str">
        <f aca="false">IF(OR(G9="",J9=""),"",IF(E9="Thấp",IF(G9&lt;=J9,"Có","Không"),IF(G9&gt;=J9,"Có","Không")))</f>
        <v/>
      </c>
      <c r="M9" s="13" t="str">
        <f aca="false">IF(OR(F9="",G9="",K9=""),"",IF(E9="Thấp",IF(G9&lt;=F9+K9,"Có","Không"),IF(G9&gt;=F9-K9,"Có","Không")))</f>
        <v/>
      </c>
      <c r="N9" s="13" t="str">
        <f aca="false">IF(G9="","Chưa đo",IF(OR(L9="Không",M9="Không"),"Không đạt",IF(AND(L9="",M9=""),"Chưa có tiêu chí","Đạt")))</f>
        <v>Chưa đo</v>
      </c>
      <c r="O9" s="28"/>
      <c r="P9" s="28"/>
      <c r="Q9" s="13" t="str">
        <f aca="false">IF(OR(O9="",P9=""),"",IF(OR(O9&gt;0,P9&lt;0),"Có","Không"))</f>
        <v/>
      </c>
      <c r="R9" s="13" t="s">
        <v>24</v>
      </c>
      <c r="S9" s="18"/>
    </row>
    <row r="10" customFormat="false" ht="15.75" hidden="false" customHeight="true" outlineLevel="0" collapsed="false">
      <c r="A10" s="13" t="s">
        <v>288</v>
      </c>
      <c r="B10" s="13" t="s">
        <v>275</v>
      </c>
      <c r="C10" s="14" t="s">
        <v>289</v>
      </c>
      <c r="D10" s="13" t="s">
        <v>96</v>
      </c>
      <c r="E10" s="13" t="s">
        <v>277</v>
      </c>
      <c r="F10" s="30"/>
      <c r="G10" s="30"/>
      <c r="H10" s="31" t="str">
        <f aca="false">IF(OR(F10="",G10=""),"",G10-F10)</f>
        <v/>
      </c>
      <c r="I10" s="25" t="str">
        <f aca="false">IF(OR(F10="",G10=""),"",IFERROR((G10-F10)/ABS(F10),""))</f>
        <v/>
      </c>
      <c r="J10" s="30"/>
      <c r="K10" s="32" t="n">
        <v>0.002</v>
      </c>
      <c r="L10" s="13" t="str">
        <f aca="false">IF(OR(G10="",J10=""),"",IF(E10="Thấp",IF(G10&lt;=J10,"Có","Không"),IF(G10&gt;=J10,"Có","Không")))</f>
        <v/>
      </c>
      <c r="M10" s="13" t="str">
        <f aca="false">IF(OR(F10="",G10="",K10=""),"",IF(E10="Thấp",IF(G10&lt;=F10+K10,"Có","Không"),IF(G10&gt;=F10-K10,"Có","Không")))</f>
        <v/>
      </c>
      <c r="N10" s="13" t="str">
        <f aca="false">IF(G10="","Chưa đo",IF(OR(L10="Không",M10="Không"),"Không đạt",IF(AND(L10="",M10=""),"Chưa có tiêu chí","Đạt")))</f>
        <v>Chưa đo</v>
      </c>
      <c r="O10" s="30"/>
      <c r="P10" s="30"/>
      <c r="Q10" s="13" t="str">
        <f aca="false">IF(OR(O10="",P10=""),"",IF(OR(O10&gt;0,P10&lt;0),"Có","Không"))</f>
        <v/>
      </c>
      <c r="R10" s="13" t="s">
        <v>290</v>
      </c>
      <c r="S10" s="18"/>
    </row>
    <row r="11" customFormat="false" ht="28.5" hidden="false" customHeight="true" outlineLevel="0" collapsed="false">
      <c r="A11" s="13" t="s">
        <v>291</v>
      </c>
      <c r="B11" s="13" t="s">
        <v>275</v>
      </c>
      <c r="C11" s="14" t="s">
        <v>292</v>
      </c>
      <c r="D11" s="13" t="s">
        <v>96</v>
      </c>
      <c r="E11" s="13" t="s">
        <v>277</v>
      </c>
      <c r="F11" s="24"/>
      <c r="G11" s="24"/>
      <c r="H11" s="23" t="str">
        <f aca="false">IF(OR(F11="",G11=""),"",G11-F11)</f>
        <v/>
      </c>
      <c r="I11" s="25" t="str">
        <f aca="false">IF(OR(F11="",G11=""),"",IFERROR((G11-F11)/ABS(F11),""))</f>
        <v/>
      </c>
      <c r="J11" s="24"/>
      <c r="K11" s="26" t="n">
        <v>0.01</v>
      </c>
      <c r="L11" s="13" t="str">
        <f aca="false">IF(OR(G11="",J11=""),"",IF(E11="Thấp",IF(G11&lt;=J11,"Có","Không"),IF(G11&gt;=J11,"Có","Không")))</f>
        <v/>
      </c>
      <c r="M11" s="13" t="str">
        <f aca="false">IF(OR(F11="",G11="",K11=""),"",IF(E11="Thấp",IF(G11&lt;=F11+K11,"Có","Không"),IF(G11&gt;=F11-K11,"Có","Không")))</f>
        <v/>
      </c>
      <c r="N11" s="13" t="str">
        <f aca="false">IF(G11="","Chưa đo",IF(OR(L11="Không",M11="Không"),"Không đạt",IF(AND(L11="",M11=""),"Chưa có tiêu chí","Đạt")))</f>
        <v>Chưa đo</v>
      </c>
      <c r="O11" s="24"/>
      <c r="P11" s="24"/>
      <c r="Q11" s="13" t="str">
        <f aca="false">IF(OR(O11="",P11=""),"",IF(OR(O11&gt;0,P11&lt;0),"Có","Không"))</f>
        <v/>
      </c>
      <c r="R11" s="13" t="s">
        <v>293</v>
      </c>
      <c r="S11" s="18"/>
    </row>
    <row r="12" customFormat="false" ht="15.75" hidden="false" customHeight="true" outlineLevel="0" collapsed="false">
      <c r="A12" s="13" t="s">
        <v>294</v>
      </c>
      <c r="B12" s="13" t="s">
        <v>295</v>
      </c>
      <c r="C12" s="14" t="s">
        <v>296</v>
      </c>
      <c r="D12" s="13" t="s">
        <v>297</v>
      </c>
      <c r="E12" s="13" t="s">
        <v>282</v>
      </c>
      <c r="F12" s="33" t="str">
        <f aca="false">IF('Bien va timestamp'!C9="","",'Bien va timestamp'!C9)</f>
        <v/>
      </c>
      <c r="G12" s="33" t="str">
        <f aca="false">IF('Bien va timestamp'!D9="","",'Bien va timestamp'!D9)</f>
        <v/>
      </c>
      <c r="H12" s="33" t="str">
        <f aca="false">IF(OR(F12="",G12=""),"",G12-F12)</f>
        <v/>
      </c>
      <c r="I12" s="25" t="str">
        <f aca="false">IF(OR(F12="",G12=""),"",IFERROR((G12-F12)/ABS(F12),""))</f>
        <v/>
      </c>
      <c r="J12" s="34"/>
      <c r="K12" s="35" t="n">
        <v>20</v>
      </c>
      <c r="L12" s="13" t="str">
        <f aca="false">IF(OR(G12="",J12=""),"",IF(E12="Thấp",IF(G12&lt;=J12,"Có","Không"),IF(G12&gt;=J12,"Có","Không")))</f>
        <v/>
      </c>
      <c r="M12" s="13" t="str">
        <f aca="false">IF(OR(F12="",G12="",K12=""),"",IF(E12="Thấp",IF(G12&lt;=F12+K12,"Có","Không"),IF(G12&gt;=F12-K12,"Có","Không")))</f>
        <v/>
      </c>
      <c r="N12" s="13" t="str">
        <f aca="false">IF(G12="","Chưa đo",IF(OR(L12="Không",M12="Không"),"Không đạt",IF(AND(L12="",M12=""),"Chưa có tiêu chí","Đạt")))</f>
        <v>Chưa đo</v>
      </c>
      <c r="O12" s="34"/>
      <c r="P12" s="34"/>
      <c r="Q12" s="13" t="str">
        <f aca="false">IF(OR(O12="",P12=""),"",IF(OR(O12&gt;0,P12&lt;0),"Có","Không"))</f>
        <v/>
      </c>
      <c r="R12" s="13" t="s">
        <v>32</v>
      </c>
      <c r="S12" s="18"/>
    </row>
    <row r="13" customFormat="false" ht="15.75" hidden="false" customHeight="true" outlineLevel="0" collapsed="false">
      <c r="A13" s="13" t="s">
        <v>298</v>
      </c>
      <c r="B13" s="13" t="s">
        <v>295</v>
      </c>
      <c r="C13" s="14" t="s">
        <v>299</v>
      </c>
      <c r="D13" s="13" t="s">
        <v>297</v>
      </c>
      <c r="E13" s="13" t="s">
        <v>282</v>
      </c>
      <c r="F13" s="33" t="str">
        <f aca="false">IF('Bien va timestamp'!C11="","",'Bien va timestamp'!C11)</f>
        <v/>
      </c>
      <c r="G13" s="33" t="str">
        <f aca="false">IF('Bien va timestamp'!D11="","",'Bien va timestamp'!D11)</f>
        <v/>
      </c>
      <c r="H13" s="33" t="str">
        <f aca="false">IF(OR(F13="",G13=""),"",G13-F13)</f>
        <v/>
      </c>
      <c r="I13" s="25" t="str">
        <f aca="false">IF(OR(F13="",G13=""),"",IFERROR((G13-F13)/ABS(F13),""))</f>
        <v/>
      </c>
      <c r="J13" s="34"/>
      <c r="K13" s="35" t="n">
        <v>20</v>
      </c>
      <c r="L13" s="13" t="str">
        <f aca="false">IF(OR(G13="",J13=""),"",IF(E13="Thấp",IF(G13&lt;=J13,"Có","Không"),IF(G13&gt;=J13,"Có","Không")))</f>
        <v/>
      </c>
      <c r="M13" s="13" t="str">
        <f aca="false">IF(OR(F13="",G13="",K13=""),"",IF(E13="Thấp",IF(G13&lt;=F13+K13,"Có","Không"),IF(G13&gt;=F13-K13,"Có","Không")))</f>
        <v/>
      </c>
      <c r="N13" s="13" t="str">
        <f aca="false">IF(G13="","Chưa đo",IF(OR(L13="Không",M13="Không"),"Không đạt",IF(AND(L13="",M13=""),"Chưa có tiêu chí","Đạt")))</f>
        <v>Chưa đo</v>
      </c>
      <c r="O13" s="34"/>
      <c r="P13" s="34"/>
      <c r="Q13" s="13" t="str">
        <f aca="false">IF(OR(O13="",P13=""),"",IF(OR(O13&gt;0,P13&lt;0),"Có","Không"))</f>
        <v/>
      </c>
      <c r="R13" s="13" t="s">
        <v>32</v>
      </c>
      <c r="S13" s="18"/>
    </row>
    <row r="14" customFormat="false" ht="15.75" hidden="false" customHeight="true" outlineLevel="0" collapsed="false">
      <c r="A14" s="13" t="s">
        <v>300</v>
      </c>
      <c r="B14" s="13" t="s">
        <v>295</v>
      </c>
      <c r="C14" s="14" t="s">
        <v>301</v>
      </c>
      <c r="D14" s="13" t="s">
        <v>285</v>
      </c>
      <c r="E14" s="13" t="s">
        <v>277</v>
      </c>
      <c r="F14" s="27" t="str">
        <f aca="false">IF('Bien va timestamp'!B18="","",'Bien va timestamp'!B18)</f>
        <v/>
      </c>
      <c r="G14" s="27" t="str">
        <f aca="false">IF('Bien va timestamp'!D18="","",'Bien va timestamp'!D18)</f>
        <v/>
      </c>
      <c r="H14" s="25" t="str">
        <f aca="false">IF(OR(F14="",G14=""),"",G14-F14)</f>
        <v/>
      </c>
      <c r="I14" s="25" t="str">
        <f aca="false">IF(OR(F14="",G14=""),"",IFERROR((G14-F14)/ABS(F14),""))</f>
        <v/>
      </c>
      <c r="J14" s="28"/>
      <c r="K14" s="29" t="n">
        <v>0.02</v>
      </c>
      <c r="L14" s="13" t="str">
        <f aca="false">IF(OR(G14="",J14=""),"",IF(E14="Thấp",IF(G14&lt;=J14,"Có","Không"),IF(G14&gt;=J14,"Có","Không")))</f>
        <v/>
      </c>
      <c r="M14" s="13" t="str">
        <f aca="false">IF(OR(F14="",G14="",K14=""),"",IF(E14="Thấp",IF(G14&lt;=F14+K14,"Có","Không"),IF(G14&gt;=F14-K14,"Có","Không")))</f>
        <v/>
      </c>
      <c r="N14" s="13" t="str">
        <f aca="false">IF(G14="","Chưa đo",IF(OR(L14="Không",M14="Không"),"Không đạt",IF(AND(L14="",M14=""),"Chưa có tiêu chí","Đạt")))</f>
        <v>Chưa đo</v>
      </c>
      <c r="O14" s="28"/>
      <c r="P14" s="28"/>
      <c r="Q14" s="13" t="str">
        <f aca="false">IF(OR(O14="",P14=""),"",IF(OR(O14&gt;0,P14&lt;0),"Có","Không"))</f>
        <v/>
      </c>
      <c r="R14" s="13" t="s">
        <v>32</v>
      </c>
      <c r="S14" s="18"/>
    </row>
    <row r="15" customFormat="false" ht="15.75" hidden="false" customHeight="true" outlineLevel="0" collapsed="false">
      <c r="A15" s="13" t="s">
        <v>302</v>
      </c>
      <c r="B15" s="13" t="s">
        <v>295</v>
      </c>
      <c r="C15" s="14" t="s">
        <v>303</v>
      </c>
      <c r="D15" s="13" t="s">
        <v>297</v>
      </c>
      <c r="E15" s="13" t="s">
        <v>282</v>
      </c>
      <c r="F15" s="33" t="n">
        <f aca="false">IF('Bien va timestamp'!C24="","",'Bien va timestamp'!C24)</f>
        <v>0</v>
      </c>
      <c r="G15" s="33" t="str">
        <f aca="false">IF('Bien va timestamp'!D24="","",'Bien va timestamp'!D24)</f>
        <v/>
      </c>
      <c r="H15" s="33" t="str">
        <f aca="false">IF(OR(F15="",G15=""),"",G15-F15)</f>
        <v/>
      </c>
      <c r="I15" s="25" t="str">
        <f aca="false">IF(OR(F15="",G15=""),"",IFERROR((G15-F15)/ABS(F15),""))</f>
        <v/>
      </c>
      <c r="J15" s="34"/>
      <c r="K15" s="35" t="n">
        <v>0</v>
      </c>
      <c r="L15" s="13" t="str">
        <f aca="false">IF(OR(G15="",J15=""),"",IF(E15="Thấp",IF(G15&lt;=J15,"Có","Không"),IF(G15&gt;=J15,"Có","Không")))</f>
        <v/>
      </c>
      <c r="M15" s="13" t="str">
        <f aca="false">IF(OR(F15="",G15="",K15=""),"",IF(E15="Thấp",IF(G15&lt;=F15+K15,"Có","Không"),IF(G15&gt;=F15-K15,"Có","Không")))</f>
        <v/>
      </c>
      <c r="N15" s="13" t="str">
        <f aca="false">IF(G15="","Chưa đo",IF(OR(L15="Không",M15="Không"),"Không đạt",IF(AND(L15="",M15=""),"Chưa có tiêu chí","Đạt")))</f>
        <v>Chưa đo</v>
      </c>
      <c r="O15" s="34"/>
      <c r="P15" s="34"/>
      <c r="Q15" s="13" t="str">
        <f aca="false">IF(OR(O15="",P15=""),"",IF(OR(O15&gt;0,P15&lt;0),"Có","Không"))</f>
        <v/>
      </c>
      <c r="R15" s="13" t="s">
        <v>32</v>
      </c>
      <c r="S15" s="18"/>
    </row>
    <row r="16" customFormat="false" ht="15.75" hidden="false" customHeight="true" outlineLevel="0" collapsed="false">
      <c r="A16" s="13" t="s">
        <v>304</v>
      </c>
      <c r="B16" s="13" t="s">
        <v>295</v>
      </c>
      <c r="C16" s="14" t="s">
        <v>197</v>
      </c>
      <c r="D16" s="13" t="s">
        <v>305</v>
      </c>
      <c r="E16" s="13" t="s">
        <v>282</v>
      </c>
      <c r="F16" s="36" t="n">
        <f aca="false">IF('File dai va batch'!D37="","",'File dai va batch'!D37)</f>
        <v>1.5</v>
      </c>
      <c r="G16" s="36" t="str">
        <f aca="false">IF('File dai va batch'!F37="","",'File dai va batch'!F37)</f>
        <v/>
      </c>
      <c r="H16" s="36" t="str">
        <f aca="false">IF(OR(F16="",G16=""),"",G16-F16)</f>
        <v/>
      </c>
      <c r="I16" s="25" t="str">
        <f aca="false">IF(OR(F16="",G16=""),"",IFERROR((G16-F16)/ABS(F16),""))</f>
        <v/>
      </c>
      <c r="J16" s="37"/>
      <c r="K16" s="38" t="n">
        <v>0.5</v>
      </c>
      <c r="L16" s="13" t="str">
        <f aca="false">IF(OR(G16="",J16=""),"",IF(E16="Thấp",IF(G16&lt;=J16,"Có","Không"),IF(G16&gt;=J16,"Có","Không")))</f>
        <v/>
      </c>
      <c r="M16" s="13" t="str">
        <f aca="false">IF(OR(F16="",G16="",K16=""),"",IF(E16="Thấp",IF(G16&lt;=F16+K16,"Có","Không"),IF(G16&gt;=F16-K16,"Có","Không")))</f>
        <v/>
      </c>
      <c r="N16" s="13" t="str">
        <f aca="false">IF(G16="","Chưa đo",IF(OR(L16="Không",M16="Không"),"Không đạt",IF(AND(L16="",M16=""),"Chưa có tiêu chí","Đạt")))</f>
        <v>Chưa đo</v>
      </c>
      <c r="O16" s="37"/>
      <c r="P16" s="37"/>
      <c r="Q16" s="13" t="str">
        <f aca="false">IF(OR(O16="",P16=""),"",IF(OR(O16&gt;0,P16&lt;0),"Có","Không"))</f>
        <v/>
      </c>
      <c r="R16" s="13" t="s">
        <v>34</v>
      </c>
      <c r="S16" s="18"/>
    </row>
    <row r="17" customFormat="false" ht="15.75" hidden="false" customHeight="true" outlineLevel="0" collapsed="false">
      <c r="A17" s="13" t="s">
        <v>306</v>
      </c>
      <c r="B17" s="13" t="s">
        <v>307</v>
      </c>
      <c r="C17" s="14" t="s">
        <v>308</v>
      </c>
      <c r="D17" s="13" t="s">
        <v>96</v>
      </c>
      <c r="E17" s="13" t="s">
        <v>277</v>
      </c>
      <c r="F17" s="23" t="n">
        <f aca="false">Robustness!C31</f>
        <v>0.936</v>
      </c>
      <c r="G17" s="23" t="str">
        <f aca="false">Robustness!C32</f>
        <v/>
      </c>
      <c r="H17" s="23" t="str">
        <f aca="false">IF(OR(F17="",G17=""),"",G17-F17)</f>
        <v/>
      </c>
      <c r="I17" s="25" t="str">
        <f aca="false">IF(OR(F17="",G17=""),"",IFERROR((G17-F17)/ABS(F17),""))</f>
        <v/>
      </c>
      <c r="J17" s="24"/>
      <c r="K17" s="26" t="n">
        <v>0.01</v>
      </c>
      <c r="L17" s="13" t="str">
        <f aca="false">IF(OR(G17="",J17=""),"",IF(E17="Thấp",IF(G17&lt;=J17,"Có","Không"),IF(G17&gt;=J17,"Có","Không")))</f>
        <v/>
      </c>
      <c r="M17" s="13" t="str">
        <f aca="false">IF(OR(F17="",G17="",K17=""),"",IF(E17="Thấp",IF(G17&lt;=F17+K17,"Có","Không"),IF(G17&gt;=F17-K17,"Có","Không")))</f>
        <v/>
      </c>
      <c r="N17" s="13" t="str">
        <f aca="false">IF(G17="","Chưa đo",IF(OR(L17="Không",M17="Không"),"Không đạt",IF(AND(L17="",M17=""),"Chưa có tiêu chí","Đạt")))</f>
        <v>Chưa đo</v>
      </c>
      <c r="O17" s="24"/>
      <c r="P17" s="24"/>
      <c r="Q17" s="13" t="str">
        <f aca="false">IF(OR(O17="",P17=""),"",IF(OR(O17&gt;0,P17&lt;0),"Có","Không"))</f>
        <v/>
      </c>
      <c r="R17" s="13" t="s">
        <v>36</v>
      </c>
      <c r="S17" s="18"/>
    </row>
    <row r="18" customFormat="false" ht="15.75" hidden="false" customHeight="true" outlineLevel="0" collapsed="false">
      <c r="A18" s="13" t="s">
        <v>309</v>
      </c>
      <c r="B18" s="13" t="s">
        <v>307</v>
      </c>
      <c r="C18" s="14" t="s">
        <v>310</v>
      </c>
      <c r="D18" s="13" t="s">
        <v>285</v>
      </c>
      <c r="E18" s="13" t="s">
        <v>282</v>
      </c>
      <c r="F18" s="39" t="str">
        <f aca="false">IF(Parity!F20="","",Parity!F20)</f>
        <v/>
      </c>
      <c r="G18" s="39" t="str">
        <f aca="false">IF(Parity!H20="","",Parity!H20)</f>
        <v/>
      </c>
      <c r="H18" s="25" t="str">
        <f aca="false">IF(OR(F18="",G18=""),"",G18-F18)</f>
        <v/>
      </c>
      <c r="I18" s="25" t="str">
        <f aca="false">IF(OR(F18="",G18=""),"",IFERROR((G18-F18)/ABS(F18),""))</f>
        <v/>
      </c>
      <c r="J18" s="40"/>
      <c r="K18" s="41" t="n">
        <v>0.001</v>
      </c>
      <c r="L18" s="13" t="str">
        <f aca="false">IF(OR(G18="",J18=""),"",IF(E18="Thấp",IF(G18&lt;=J18,"Có","Không"),IF(G18&gt;=J18,"Có","Không")))</f>
        <v/>
      </c>
      <c r="M18" s="13" t="str">
        <f aca="false">IF(OR(F18="",G18="",K18=""),"",IF(E18="Thấp",IF(G18&lt;=F18+K18,"Có","Không"),IF(G18&gt;=F18-K18,"Có","Không")))</f>
        <v/>
      </c>
      <c r="N18" s="13" t="str">
        <f aca="false">IF(G18="","Chưa đo",IF(OR(L18="Không",M18="Không"),"Không đạt",IF(AND(L18="",M18=""),"Chưa có tiêu chí","Đạt")))</f>
        <v>Chưa đo</v>
      </c>
      <c r="O18" s="40"/>
      <c r="P18" s="40"/>
      <c r="Q18" s="13" t="str">
        <f aca="false">IF(OR(O18="",P18=""),"",IF(OR(O18&gt;0,P18&lt;0),"Có","Không"))</f>
        <v/>
      </c>
      <c r="R18" s="13" t="s">
        <v>28</v>
      </c>
      <c r="S18" s="18"/>
    </row>
    <row r="19" customFormat="false" ht="15.75" hidden="false" customHeight="true" outlineLevel="0" collapsed="false">
      <c r="A19" s="13" t="s">
        <v>311</v>
      </c>
      <c r="B19" s="13" t="s">
        <v>307</v>
      </c>
      <c r="C19" s="14" t="s">
        <v>312</v>
      </c>
      <c r="D19" s="13" t="s">
        <v>313</v>
      </c>
      <c r="E19" s="13" t="s">
        <v>282</v>
      </c>
      <c r="F19" s="33" t="str">
        <f aca="false">IF('Test chuc nang'!F39&gt;0,"",'Test chuc nang'!F38)</f>
        <v/>
      </c>
      <c r="G19" s="33" t="str">
        <f aca="false">IF('Test chuc nang'!G39&gt;0,"",'Test chuc nang'!G38)</f>
        <v/>
      </c>
      <c r="H19" s="33" t="str">
        <f aca="false">IF(OR(F19="",G19=""),"",G19-F19)</f>
        <v/>
      </c>
      <c r="I19" s="25" t="str">
        <f aca="false">IF(OR(F19="",G19=""),"",IFERROR((G19-F19)/ABS(F19),""))</f>
        <v/>
      </c>
      <c r="J19" s="34"/>
      <c r="K19" s="35" t="n">
        <v>0</v>
      </c>
      <c r="L19" s="13" t="str">
        <f aca="false">IF(OR(G19="",J19=""),"",IF(E19="Thấp",IF(G19&lt;=J19,"Có","Không"),IF(G19&gt;=J19,"Có","Không")))</f>
        <v/>
      </c>
      <c r="M19" s="13" t="str">
        <f aca="false">IF(OR(F19="",G19="",K19=""),"",IF(E19="Thấp",IF(G19&lt;=F19+K19,"Có","Không"),IF(G19&gt;=F19-K19,"Có","Không")))</f>
        <v/>
      </c>
      <c r="N19" s="13" t="str">
        <f aca="false">IF(G19="","Chưa đo",IF(OR(L19="Không",M19="Không"),"Không đạt",IF(AND(L19="",M19=""),"Chưa có tiêu chí","Đạt")))</f>
        <v>Chưa đo</v>
      </c>
      <c r="O19" s="34"/>
      <c r="P19" s="34"/>
      <c r="Q19" s="13" t="str">
        <f aca="false">IF(OR(O19="",P19=""),"",IF(OR(O19&gt;0,P19&lt;0),"Có","Không"))</f>
        <v/>
      </c>
      <c r="R19" s="13" t="s">
        <v>38</v>
      </c>
      <c r="S19" s="18"/>
    </row>
    <row r="20" customFormat="false" ht="15.75" hidden="false" customHeight="true" outlineLevel="0" collapsed="false">
      <c r="A20" s="13" t="s">
        <v>314</v>
      </c>
      <c r="B20" s="13" t="s">
        <v>315</v>
      </c>
      <c r="C20" s="14" t="s">
        <v>316</v>
      </c>
      <c r="D20" s="13" t="s">
        <v>96</v>
      </c>
      <c r="E20" s="13" t="s">
        <v>282</v>
      </c>
      <c r="F20" s="23" t="n">
        <f aca="false">IF(Performance!C36="","",Performance!C36)</f>
        <v>0.16005</v>
      </c>
      <c r="G20" s="23" t="str">
        <f aca="false">IF(Performance!F36="","",Performance!F36)</f>
        <v/>
      </c>
      <c r="H20" s="23" t="str">
        <f aca="false">IF(OR(F20="",G20=""),"",G20-F20)</f>
        <v/>
      </c>
      <c r="I20" s="25" t="str">
        <f aca="false">IF(OR(F20="",G20=""),"",IFERROR((G20-F20)/ABS(F20),""))</f>
        <v/>
      </c>
      <c r="J20" s="24"/>
      <c r="K20" s="26" t="n">
        <v>0.005</v>
      </c>
      <c r="L20" s="13" t="str">
        <f aca="false">IF(OR(G20="",J20=""),"",IF(E20="Thấp",IF(G20&lt;=J20,"Có","Không"),IF(G20&gt;=J20,"Có","Không")))</f>
        <v/>
      </c>
      <c r="M20" s="13" t="str">
        <f aca="false">IF(OR(F20="",G20="",K20=""),"",IF(E20="Thấp",IF(G20&lt;=F20+K20,"Có","Không"),IF(G20&gt;=F20-K20,"Có","Không")))</f>
        <v/>
      </c>
      <c r="N20" s="13" t="str">
        <f aca="false">IF(G20="","Chưa đo",IF(OR(L20="Không",M20="Không"),"Không đạt",IF(AND(L20="",M20=""),"Chưa có tiêu chí","Đạt")))</f>
        <v>Chưa đo</v>
      </c>
      <c r="O20" s="24"/>
      <c r="P20" s="24"/>
      <c r="Q20" s="13" t="str">
        <f aca="false">IF(OR(O20="",P20=""),"",IF(OR(O20&gt;0,P20&lt;0),"Có","Không"))</f>
        <v/>
      </c>
      <c r="R20" s="13" t="s">
        <v>30</v>
      </c>
      <c r="S20" s="18"/>
    </row>
    <row r="21" customFormat="false" ht="15.75" hidden="false" customHeight="true" outlineLevel="0" collapsed="false">
      <c r="A21" s="13" t="s">
        <v>317</v>
      </c>
      <c r="B21" s="13" t="s">
        <v>315</v>
      </c>
      <c r="C21" s="14" t="s">
        <v>318</v>
      </c>
      <c r="D21" s="13" t="s">
        <v>96</v>
      </c>
      <c r="E21" s="13" t="s">
        <v>282</v>
      </c>
      <c r="F21" s="23" t="n">
        <f aca="false">IF(Performance!C37="","",Performance!C37)</f>
        <v>0.171666666666667</v>
      </c>
      <c r="G21" s="23" t="str">
        <f aca="false">IF(Performance!F37="","",Performance!F37)</f>
        <v/>
      </c>
      <c r="H21" s="23" t="str">
        <f aca="false">IF(OR(F21="",G21=""),"",G21-F21)</f>
        <v/>
      </c>
      <c r="I21" s="25" t="str">
        <f aca="false">IF(OR(F21="",G21=""),"",IFERROR((G21-F21)/ABS(F21),""))</f>
        <v/>
      </c>
      <c r="J21" s="24"/>
      <c r="K21" s="26" t="n">
        <v>0.005</v>
      </c>
      <c r="L21" s="13" t="str">
        <f aca="false">IF(OR(G21="",J21=""),"",IF(E21="Thấp",IF(G21&lt;=J21,"Có","Không"),IF(G21&gt;=J21,"Có","Không")))</f>
        <v/>
      </c>
      <c r="M21" s="13" t="str">
        <f aca="false">IF(OR(F21="",G21="",K21=""),"",IF(E21="Thấp",IF(G21&lt;=F21+K21,"Có","Không"),IF(G21&gt;=F21-K21,"Có","Không")))</f>
        <v/>
      </c>
      <c r="N21" s="13" t="str">
        <f aca="false">IF(G21="","Chưa đo",IF(OR(L21="Không",M21="Không"),"Không đạt",IF(AND(L21="",M21=""),"Chưa có tiêu chí","Đạt")))</f>
        <v>Chưa đo</v>
      </c>
      <c r="O21" s="24"/>
      <c r="P21" s="24"/>
      <c r="Q21" s="13" t="str">
        <f aca="false">IF(OR(O21="",P21=""),"",IF(OR(O21&gt;0,P21&lt;0),"Có","Không"))</f>
        <v/>
      </c>
      <c r="R21" s="13" t="s">
        <v>30</v>
      </c>
      <c r="S21" s="18"/>
    </row>
    <row r="22" customFormat="false" ht="15.75" hidden="false" customHeight="true" outlineLevel="0" collapsed="false">
      <c r="A22" s="13" t="s">
        <v>319</v>
      </c>
      <c r="B22" s="13" t="s">
        <v>315</v>
      </c>
      <c r="C22" s="14" t="s">
        <v>320</v>
      </c>
      <c r="D22" s="13" t="s">
        <v>321</v>
      </c>
      <c r="E22" s="13" t="s">
        <v>282</v>
      </c>
      <c r="F22" s="36" t="n">
        <f aca="false">IF(Performance!C46="","",Performance!C46)</f>
        <v>9.8</v>
      </c>
      <c r="G22" s="36" t="str">
        <f aca="false">IF(Performance!F46="","",Performance!F46)</f>
        <v/>
      </c>
      <c r="H22" s="36" t="str">
        <f aca="false">IF(OR(F22="",G22=""),"",G22-F22)</f>
        <v/>
      </c>
      <c r="I22" s="25" t="str">
        <f aca="false">IF(OR(F22="",G22=""),"",IFERROR((G22-F22)/ABS(F22),""))</f>
        <v/>
      </c>
      <c r="J22" s="37"/>
      <c r="K22" s="38" t="n">
        <v>0.2</v>
      </c>
      <c r="L22" s="13" t="str">
        <f aca="false">IF(OR(G22="",J22=""),"",IF(E22="Thấp",IF(G22&lt;=J22,"Có","Không"),IF(G22&gt;=J22,"Có","Không")))</f>
        <v/>
      </c>
      <c r="M22" s="13" t="str">
        <f aca="false">IF(OR(F22="",G22="",K22=""),"",IF(E22="Thấp",IF(G22&lt;=F22+K22,"Có","Không"),IF(G22&gt;=F22-K22,"Có","Không")))</f>
        <v/>
      </c>
      <c r="N22" s="13" t="str">
        <f aca="false">IF(G22="","Chưa đo",IF(OR(L22="Không",M22="Không"),"Không đạt",IF(AND(L22="",M22=""),"Chưa có tiêu chí","Đạt")))</f>
        <v>Chưa đo</v>
      </c>
      <c r="O22" s="37"/>
      <c r="P22" s="37"/>
      <c r="Q22" s="13" t="str">
        <f aca="false">IF(OR(O22="",P22=""),"",IF(OR(O22&gt;0,P22&lt;0),"Có","Không"))</f>
        <v/>
      </c>
      <c r="R22" s="13" t="s">
        <v>30</v>
      </c>
      <c r="S22" s="18"/>
    </row>
    <row r="23" customFormat="false" ht="15.75" hidden="false" customHeight="true" outlineLevel="0" collapsed="false">
      <c r="A23" s="13" t="s">
        <v>322</v>
      </c>
      <c r="B23" s="13" t="s">
        <v>315</v>
      </c>
      <c r="C23" s="14" t="s">
        <v>323</v>
      </c>
      <c r="D23" s="13" t="s">
        <v>324</v>
      </c>
      <c r="E23" s="13" t="s">
        <v>282</v>
      </c>
      <c r="F23" s="42" t="n">
        <f aca="false">IF(Performance!C51="","",Performance!C51)</f>
        <v>11.5236</v>
      </c>
      <c r="G23" s="42" t="str">
        <f aca="false">IF(Performance!F51="","",Performance!F51)</f>
        <v/>
      </c>
      <c r="H23" s="42" t="str">
        <f aca="false">IF(OR(F23="",G23=""),"",G23-F23)</f>
        <v/>
      </c>
      <c r="I23" s="25" t="str">
        <f aca="false">IF(OR(F23="",G23=""),"",IFERROR((G23-F23)/ABS(F23),""))</f>
        <v/>
      </c>
      <c r="J23" s="43"/>
      <c r="K23" s="44" t="n">
        <v>0.5</v>
      </c>
      <c r="L23" s="13" t="str">
        <f aca="false">IF(OR(G23="",J23=""),"",IF(E23="Thấp",IF(G23&lt;=J23,"Có","Không"),IF(G23&gt;=J23,"Có","Không")))</f>
        <v/>
      </c>
      <c r="M23" s="13" t="str">
        <f aca="false">IF(OR(F23="",G23="",K23=""),"",IF(E23="Thấp",IF(G23&lt;=F23+K23,"Có","Không"),IF(G23&gt;=F23-K23,"Có","Không")))</f>
        <v/>
      </c>
      <c r="N23" s="13" t="str">
        <f aca="false">IF(G23="","Chưa đo",IF(OR(L23="Không",M23="Không"),"Không đạt",IF(AND(L23="",M23=""),"Chưa có tiêu chí","Đạt")))</f>
        <v>Chưa đo</v>
      </c>
      <c r="O23" s="43"/>
      <c r="P23" s="43"/>
      <c r="Q23" s="13" t="str">
        <f aca="false">IF(OR(O23="",P23=""),"",IF(OR(O23&gt;0,P23&lt;0),"Có","Không"))</f>
        <v/>
      </c>
      <c r="R23" s="13" t="s">
        <v>30</v>
      </c>
      <c r="S23" s="18"/>
    </row>
    <row r="24" customFormat="false" ht="15.75" hidden="false" customHeight="true" outlineLevel="0" collapsed="false">
      <c r="A24" s="13" t="s">
        <v>325</v>
      </c>
      <c r="B24" s="13" t="s">
        <v>315</v>
      </c>
      <c r="C24" s="14" t="s">
        <v>326</v>
      </c>
      <c r="D24" s="13" t="s">
        <v>327</v>
      </c>
      <c r="E24" s="13" t="s">
        <v>282</v>
      </c>
      <c r="F24" s="45" t="str">
        <f aca="false">IF('File dai va batch'!C23="","",'File dai va batch'!C23)</f>
        <v/>
      </c>
      <c r="G24" s="45" t="str">
        <f aca="false">IF('File dai va batch'!D23="","",'File dai va batch'!D23)</f>
        <v/>
      </c>
      <c r="H24" s="45" t="str">
        <f aca="false">IF(OR(F24="",G24=""),"",G24-F24)</f>
        <v/>
      </c>
      <c r="I24" s="25" t="str">
        <f aca="false">IF(OR(F24="",G24=""),"",IFERROR((G24-F24)/ABS(F24),""))</f>
        <v/>
      </c>
      <c r="J24" s="46"/>
      <c r="K24" s="47" t="n">
        <v>5</v>
      </c>
      <c r="L24" s="13" t="str">
        <f aca="false">IF(OR(G24="",J24=""),"",IF(E24="Thấp",IF(G24&lt;=J24,"Có","Không"),IF(G24&gt;=J24,"Có","Không")))</f>
        <v/>
      </c>
      <c r="M24" s="13" t="str">
        <f aca="false">IF(OR(F24="",G24="",K24=""),"",IF(E24="Thấp",IF(G24&lt;=F24+K24,"Có","Không"),IF(G24&gt;=F24-K24,"Có","Không")))</f>
        <v/>
      </c>
      <c r="N24" s="13" t="str">
        <f aca="false">IF(G24="","Chưa đo",IF(OR(L24="Không",M24="Không"),"Không đạt",IF(AND(L24="",M24=""),"Chưa có tiêu chí","Đạt")))</f>
        <v>Chưa đo</v>
      </c>
      <c r="O24" s="46"/>
      <c r="P24" s="46"/>
      <c r="Q24" s="13" t="str">
        <f aca="false">IF(OR(O24="",P24=""),"",IF(OR(O24&gt;0,P24&lt;0),"Có","Không"))</f>
        <v/>
      </c>
      <c r="R24" s="13" t="s">
        <v>34</v>
      </c>
      <c r="S24" s="18"/>
    </row>
    <row r="25" customFormat="false" ht="15.75" hidden="false" customHeight="true" outlineLevel="0" collapsed="false">
      <c r="A25" s="13" t="s">
        <v>328</v>
      </c>
      <c r="B25" s="13" t="s">
        <v>315</v>
      </c>
      <c r="C25" s="14" t="s">
        <v>329</v>
      </c>
      <c r="D25" s="13" t="s">
        <v>330</v>
      </c>
      <c r="E25" s="13" t="s">
        <v>282</v>
      </c>
      <c r="F25" s="36" t="str">
        <f aca="false">IF('File dai va batch'!C22="","",'File dai va batch'!C22)</f>
        <v/>
      </c>
      <c r="G25" s="36" t="str">
        <f aca="false">IF('File dai va batch'!D22="","",'File dai va batch'!D22)</f>
        <v/>
      </c>
      <c r="H25" s="36" t="str">
        <f aca="false">IF(OR(F25="",G25=""),"",G25-F25)</f>
        <v/>
      </c>
      <c r="I25" s="25" t="str">
        <f aca="false">IF(OR(F25="",G25=""),"",IFERROR((G25-F25)/ABS(F25),""))</f>
        <v/>
      </c>
      <c r="J25" s="37"/>
      <c r="K25" s="38" t="n">
        <v>0.1</v>
      </c>
      <c r="L25" s="13" t="str">
        <f aca="false">IF(OR(G25="",J25=""),"",IF(E25="Thấp",IF(G25&lt;=J25,"Có","Không"),IF(G25&gt;=J25,"Có","Không")))</f>
        <v/>
      </c>
      <c r="M25" s="13" t="str">
        <f aca="false">IF(OR(F25="",G25="",K25=""),"",IF(E25="Thấp",IF(G25&lt;=F25+K25,"Có","Không"),IF(G25&gt;=F25-K25,"Có","Không")))</f>
        <v/>
      </c>
      <c r="N25" s="13" t="str">
        <f aca="false">IF(G25="","Chưa đo",IF(OR(L25="Không",M25="Không"),"Không đạt",IF(AND(L25="",M25=""),"Chưa có tiêu chí","Đạt")))</f>
        <v>Chưa đo</v>
      </c>
      <c r="O25" s="37"/>
      <c r="P25" s="37"/>
      <c r="Q25" s="13" t="str">
        <f aca="false">IF(OR(O25="",P25=""),"",IF(OR(O25&gt;0,P25&lt;0),"Có","Không"))</f>
        <v/>
      </c>
      <c r="R25" s="13" t="s">
        <v>34</v>
      </c>
      <c r="S25" s="18"/>
    </row>
    <row r="26" customFormat="false" ht="15.75" hidden="false" customHeight="true" outlineLevel="0" collapsed="false">
      <c r="A26" s="13" t="s">
        <v>331</v>
      </c>
      <c r="B26" s="13" t="s">
        <v>315</v>
      </c>
      <c r="C26" s="14" t="s">
        <v>332</v>
      </c>
      <c r="D26" s="13" t="s">
        <v>327</v>
      </c>
      <c r="E26" s="13" t="s">
        <v>282</v>
      </c>
      <c r="F26" s="36" t="str">
        <f aca="false">IF('File dai va batch'!C25="","",'File dai va batch'!C25)</f>
        <v/>
      </c>
      <c r="G26" s="36" t="str">
        <f aca="false">IF('File dai va batch'!D25="","",'File dai va batch'!D25)</f>
        <v/>
      </c>
      <c r="H26" s="36" t="str">
        <f aca="false">IF(OR(F26="",G26=""),"",G26-F26)</f>
        <v/>
      </c>
      <c r="I26" s="25" t="str">
        <f aca="false">IF(OR(F26="",G26=""),"",IFERROR((G26-F26)/ABS(F26),""))</f>
        <v/>
      </c>
      <c r="J26" s="37"/>
      <c r="K26" s="38" t="n">
        <v>0.5</v>
      </c>
      <c r="L26" s="13" t="str">
        <f aca="false">IF(OR(G26="",J26=""),"",IF(E26="Thấp",IF(G26&lt;=J26,"Có","Không"),IF(G26&gt;=J26,"Có","Không")))</f>
        <v/>
      </c>
      <c r="M26" s="13" t="str">
        <f aca="false">IF(OR(F26="",G26="",K26=""),"",IF(E26="Thấp",IF(G26&lt;=F26+K26,"Có","Không"),IF(G26&gt;=F26-K26,"Có","Không")))</f>
        <v/>
      </c>
      <c r="N26" s="13" t="str">
        <f aca="false">IF(G26="","Chưa đo",IF(OR(L26="Không",M26="Không"),"Không đạt",IF(AND(L26="",M26=""),"Chưa có tiêu chí","Đạt")))</f>
        <v>Chưa đo</v>
      </c>
      <c r="O26" s="37"/>
      <c r="P26" s="37"/>
      <c r="Q26" s="13" t="str">
        <f aca="false">IF(OR(O26="",P26=""),"",IF(OR(O26&gt;0,P26&lt;0),"Có","Không"))</f>
        <v/>
      </c>
      <c r="R26" s="13" t="s">
        <v>34</v>
      </c>
      <c r="S26" s="18"/>
    </row>
    <row r="27" customFormat="false" ht="15.75" hidden="false" customHeight="true" outlineLevel="0" collapsed="false">
      <c r="A27" s="13" t="s">
        <v>333</v>
      </c>
      <c r="B27" s="13" t="s">
        <v>315</v>
      </c>
      <c r="C27" s="14" t="s">
        <v>334</v>
      </c>
      <c r="D27" s="13" t="s">
        <v>335</v>
      </c>
      <c r="E27" s="13" t="s">
        <v>282</v>
      </c>
      <c r="F27" s="48" t="n">
        <f aca="false">IF(Performance!C61="","",Performance!C61)</f>
        <v>3200</v>
      </c>
      <c r="G27" s="48" t="str">
        <f aca="false">IF(Performance!F61="","",Performance!F61)</f>
        <v/>
      </c>
      <c r="H27" s="48" t="str">
        <f aca="false">IF(OR(F27="",G27=""),"",G27-F27)</f>
        <v/>
      </c>
      <c r="I27" s="25" t="str">
        <f aca="false">IF(OR(F27="",G27=""),"",IFERROR((G27-F27)/ABS(F27),""))</f>
        <v/>
      </c>
      <c r="J27" s="49"/>
      <c r="K27" s="50" t="n">
        <v>0</v>
      </c>
      <c r="L27" s="13" t="str">
        <f aca="false">IF(OR(G27="",J27=""),"",IF(E27="Thấp",IF(G27&lt;=J27,"Có","Không"),IF(G27&gt;=J27,"Có","Không")))</f>
        <v/>
      </c>
      <c r="M27" s="13" t="str">
        <f aca="false">IF(OR(F27="",G27="",K27=""),"",IF(E27="Thấp",IF(G27&lt;=F27+K27,"Có","Không"),IF(G27&gt;=F27-K27,"Có","Không")))</f>
        <v/>
      </c>
      <c r="N27" s="13" t="str">
        <f aca="false">IF(G27="","Chưa đo",IF(OR(L27="Không",M27="Không"),"Không đạt",IF(AND(L27="",M27=""),"Chưa có tiêu chí","Đạt")))</f>
        <v>Chưa đo</v>
      </c>
      <c r="O27" s="49"/>
      <c r="P27" s="49"/>
      <c r="Q27" s="13" t="str">
        <f aca="false">IF(OR(O27="",P27=""),"",IF(OR(O27&gt;0,P27&lt;0),"Có","Không"))</f>
        <v/>
      </c>
      <c r="R27" s="13" t="s">
        <v>30</v>
      </c>
      <c r="S27" s="18"/>
    </row>
    <row r="28" customFormat="false" ht="15.75" hidden="false" customHeight="true" outlineLevel="0" collapsed="false">
      <c r="A28" s="13" t="s">
        <v>336</v>
      </c>
      <c r="B28" s="13" t="s">
        <v>315</v>
      </c>
      <c r="C28" s="14" t="s">
        <v>337</v>
      </c>
      <c r="D28" s="13" t="s">
        <v>335</v>
      </c>
      <c r="E28" s="13" t="s">
        <v>282</v>
      </c>
      <c r="F28" s="48" t="n">
        <f aca="false">IF(Performance!C60="","",Performance!C60)</f>
        <v>15100</v>
      </c>
      <c r="G28" s="48" t="str">
        <f aca="false">IF(Performance!F60="","",Performance!F60)</f>
        <v/>
      </c>
      <c r="H28" s="48" t="str">
        <f aca="false">IF(OR(F28="",G28=""),"",G28-F28)</f>
        <v/>
      </c>
      <c r="I28" s="25" t="str">
        <f aca="false">IF(OR(F28="",G28=""),"",IFERROR((G28-F28)/ABS(F28),""))</f>
        <v/>
      </c>
      <c r="J28" s="49"/>
      <c r="K28" s="50" t="n">
        <v>0</v>
      </c>
      <c r="L28" s="13" t="str">
        <f aca="false">IF(OR(G28="",J28=""),"",IF(E28="Thấp",IF(G28&lt;=J28,"Có","Không"),IF(G28&gt;=J28,"Có","Không")))</f>
        <v/>
      </c>
      <c r="M28" s="13" t="str">
        <f aca="false">IF(OR(F28="",G28="",K28=""),"",IF(E28="Thấp",IF(G28&lt;=F28+K28,"Có","Không"),IF(G28&gt;=F28-K28,"Có","Không")))</f>
        <v/>
      </c>
      <c r="N28" s="13" t="str">
        <f aca="false">IF(G28="","Chưa đo",IF(OR(L28="Không",M28="Không"),"Không đạt",IF(AND(L28="",M28=""),"Chưa có tiêu chí","Đạt")))</f>
        <v>Chưa đo</v>
      </c>
      <c r="O28" s="49"/>
      <c r="P28" s="49"/>
      <c r="Q28" s="13" t="str">
        <f aca="false">IF(OR(O28="",P28=""),"",IF(OR(O28&gt;0,P28&lt;0),"Có","Không"))</f>
        <v/>
      </c>
      <c r="R28" s="13" t="s">
        <v>30</v>
      </c>
      <c r="S28" s="18"/>
    </row>
    <row r="29" customFormat="false" ht="15.75" hidden="false" customHeight="true" outlineLevel="0" collapsed="false">
      <c r="A29" s="13" t="s">
        <v>338</v>
      </c>
      <c r="B29" s="13" t="s">
        <v>315</v>
      </c>
      <c r="C29" s="14" t="s">
        <v>339</v>
      </c>
      <c r="D29" s="13" t="s">
        <v>297</v>
      </c>
      <c r="E29" s="13" t="s">
        <v>282</v>
      </c>
      <c r="F29" s="33" t="n">
        <f aca="false">IF(Performance!C40="","",Performance!C40)</f>
        <v>85</v>
      </c>
      <c r="G29" s="33" t="str">
        <f aca="false">IF(Performance!F40="","",Performance!F40)</f>
        <v/>
      </c>
      <c r="H29" s="33" t="str">
        <f aca="false">IF(OR(F29="",G29=""),"",G29-F29)</f>
        <v/>
      </c>
      <c r="I29" s="25" t="str">
        <f aca="false">IF(OR(F29="",G29=""),"",IFERROR((G29-F29)/ABS(F29),""))</f>
        <v/>
      </c>
      <c r="J29" s="34"/>
      <c r="K29" s="35" t="n">
        <v>10</v>
      </c>
      <c r="L29" s="13" t="str">
        <f aca="false">IF(OR(G29="",J29=""),"",IF(E29="Thấp",IF(G29&lt;=J29,"Có","Không"),IF(G29&gt;=J29,"Có","Không")))</f>
        <v/>
      </c>
      <c r="M29" s="13" t="str">
        <f aca="false">IF(OR(F29="",G29="",K29=""),"",IF(E29="Thấp",IF(G29&lt;=F29+K29,"Có","Không"),IF(G29&gt;=F29-K29,"Có","Không")))</f>
        <v/>
      </c>
      <c r="N29" s="13" t="str">
        <f aca="false">IF(G29="","Chưa đo",IF(OR(L29="Không",M29="Không"),"Không đạt",IF(AND(L29="",M29=""),"Chưa có tiêu chí","Đạt")))</f>
        <v>Chưa đo</v>
      </c>
      <c r="O29" s="34"/>
      <c r="P29" s="34"/>
      <c r="Q29" s="13" t="str">
        <f aca="false">IF(OR(O29="",P29=""),"",IF(OR(O29&gt;0,P29&lt;0),"Có","Không"))</f>
        <v/>
      </c>
      <c r="R29" s="13" t="s">
        <v>30</v>
      </c>
      <c r="S29" s="18"/>
    </row>
    <row r="31" customFormat="false" ht="15" hidden="false" customHeight="false" outlineLevel="0" collapsed="false">
      <c r="C31" s="19" t="s">
        <v>340</v>
      </c>
    </row>
    <row r="32" customFormat="false" ht="15" hidden="false" customHeight="false" outlineLevel="0" collapsed="false">
      <c r="C32" s="14" t="s">
        <v>251</v>
      </c>
      <c r="D32" s="13" t="n">
        <f aca="false">COUNTIF($N$5:$N$29,"Đạt")</f>
        <v>0</v>
      </c>
    </row>
    <row r="33" customFormat="false" ht="15" hidden="false" customHeight="false" outlineLevel="0" collapsed="false">
      <c r="C33" s="14" t="s">
        <v>253</v>
      </c>
      <c r="D33" s="13" t="n">
        <f aca="false">COUNTIF($N$5:$N$29,"Không đạt")</f>
        <v>0</v>
      </c>
    </row>
    <row r="34" customFormat="false" ht="15" hidden="false" customHeight="false" outlineLevel="0" collapsed="false">
      <c r="C34" s="14" t="s">
        <v>341</v>
      </c>
      <c r="D34" s="13" t="n">
        <f aca="false">COUNTIF($N$5:$N$29,"Chưa đo")</f>
        <v>25</v>
      </c>
    </row>
    <row r="35" customFormat="false" ht="15" hidden="false" customHeight="false" outlineLevel="0" collapsed="false">
      <c r="C35" s="14" t="s">
        <v>342</v>
      </c>
      <c r="D35" s="13" t="n">
        <f aca="false">COUNTIF($N$5:$N$29,"Chưa có tiêu chí")</f>
        <v>0</v>
      </c>
    </row>
    <row r="36" customFormat="false" ht="15" hidden="false" customHeight="false" outlineLevel="0" collapsed="false">
      <c r="C36" s="19" t="s">
        <v>343</v>
      </c>
      <c r="D36" s="51" t="str">
        <f aca="false">IF(D33&gt;0,"KHÔNG ĐẠT",IF(D34+D35&gt;0,"CHƯA ĐỦ DỮ LIỆU","ĐẠT"))</f>
        <v>CHƯA ĐỦ DỮ LIỆU</v>
      </c>
      <c r="E36" s="51"/>
      <c r="F36" s="51"/>
    </row>
    <row r="38" customFormat="false" ht="15" hidden="false" customHeight="false" outlineLevel="0" collapsed="false">
      <c r="A38" s="52" t="s">
        <v>344</v>
      </c>
    </row>
  </sheetData>
  <mergeCells count="1">
    <mergeCell ref="D36:F36"/>
  </mergeCells>
  <conditionalFormatting sqref="N5:N29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  <cfRule type="cellIs" priority="4" operator="equal" aboveAverage="0" equalAverage="0" bottom="0" percent="0" rank="0" text="" dxfId="2">
      <formula>"Chưa có tiêu chí"</formula>
    </cfRule>
  </conditionalFormatting>
  <conditionalFormatting sqref="L5:M29">
    <cfRule type="cellIs" priority="5" operator="equal" aboveAverage="0" equalAverage="0" bottom="0" percent="0" rank="0" text="" dxfId="0">
      <formula>"Có"</formula>
    </cfRule>
    <cfRule type="cellIs" priority="6" operator="equal" aboveAverage="0" equalAverage="0" bottom="0" percent="0" rank="0" text="" dxfId="1">
      <formula>"Không"</formula>
    </cfRule>
  </conditionalFormatting>
  <conditionalFormatting sqref="D36">
    <cfRule type="cellIs" priority="7" operator="equal" aboveAverage="0" equalAverage="0" bottom="0" percent="0" rank="0" text="" dxfId="0">
      <formula>"ĐẠT"</formula>
    </cfRule>
    <cfRule type="cellIs" priority="8" operator="equal" aboveAverage="0" equalAverage="0" bottom="0" percent="0" rank="0" text="" dxfId="1">
      <formula>"KHÔNG ĐẠT"</formula>
    </cfRule>
    <cfRule type="cellIs" priority="9" operator="equal" aboveAverage="0" equalAverage="0" bottom="0" percent="0" rank="0" text="" dxfId="2">
      <formula>"CHƯA ĐỦ DỮ LIỆU"</formula>
    </cfRule>
  </conditionalFormatting>
  <dataValidations count="1">
    <dataValidation allowBlank="true" errorStyle="stop" operator="between" showDropDown="false" showErrorMessage="false" showInputMessage="false" sqref="E5:E29" type="list">
      <formula1>"Cao,Thấp"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26"/>
    <col collapsed="false" customWidth="true" hidden="false" outlineLevel="0" max="5" min="5" style="0" width="11"/>
    <col collapsed="false" customWidth="true" hidden="false" outlineLevel="0" max="6" min="6" style="0" width="52"/>
  </cols>
  <sheetData>
    <row r="1" customFormat="false" ht="17.25" hidden="false" customHeight="true" outlineLevel="0" collapsed="false">
      <c r="A1" s="2" t="s">
        <v>345</v>
      </c>
    </row>
    <row r="2" customFormat="false" ht="15" hidden="false" customHeight="true" outlineLevel="0" collapsed="false">
      <c r="A2" s="3" t="s">
        <v>346</v>
      </c>
    </row>
    <row r="4" customFormat="false" ht="15.75" hidden="false" customHeight="true" outlineLevel="0" collapsed="false">
      <c r="A4" s="12" t="s">
        <v>75</v>
      </c>
      <c r="B4" s="12" t="s">
        <v>347</v>
      </c>
      <c r="C4" s="12" t="s">
        <v>261</v>
      </c>
      <c r="D4" s="12" t="s">
        <v>262</v>
      </c>
      <c r="E4" s="12" t="s">
        <v>348</v>
      </c>
      <c r="F4" s="12" t="s">
        <v>89</v>
      </c>
    </row>
    <row r="5" customFormat="false" ht="15.75" hidden="false" customHeight="true" outlineLevel="0" collapsed="false">
      <c r="A5" s="13" t="s">
        <v>349</v>
      </c>
      <c r="B5" s="14" t="s">
        <v>350</v>
      </c>
      <c r="C5" s="18"/>
      <c r="D5" s="18"/>
      <c r="E5" s="13" t="str">
        <f aca="false">IF(D5="","",IF(D5=C5,"","Đổi"))</f>
        <v/>
      </c>
      <c r="F5" s="14"/>
    </row>
    <row r="6" customFormat="false" ht="15.75" hidden="false" customHeight="true" outlineLevel="0" collapsed="false">
      <c r="A6" s="13" t="s">
        <v>349</v>
      </c>
      <c r="B6" s="14" t="s">
        <v>351</v>
      </c>
      <c r="C6" s="17"/>
      <c r="D6" s="17"/>
      <c r="E6" s="13" t="str">
        <f aca="false">IF(D6="","",IF(D6=C6,"","Đổi"))</f>
        <v/>
      </c>
      <c r="F6" s="14" t="s">
        <v>352</v>
      </c>
    </row>
    <row r="7" customFormat="false" ht="15.75" hidden="false" customHeight="true" outlineLevel="0" collapsed="false">
      <c r="A7" s="13" t="s">
        <v>349</v>
      </c>
      <c r="B7" s="14" t="s">
        <v>353</v>
      </c>
      <c r="C7" s="18"/>
      <c r="D7" s="18"/>
      <c r="E7" s="13" t="str">
        <f aca="false">IF(D7="","",IF(D7=C7,"","Đổi"))</f>
        <v/>
      </c>
      <c r="F7" s="14"/>
    </row>
    <row r="8" customFormat="false" ht="15.75" hidden="false" customHeight="true" outlineLevel="0" collapsed="false">
      <c r="A8" s="13" t="s">
        <v>354</v>
      </c>
      <c r="B8" s="14" t="s">
        <v>355</v>
      </c>
      <c r="C8" s="18"/>
      <c r="D8" s="18"/>
      <c r="E8" s="13" t="str">
        <f aca="false">IF(D8="","",IF(D8=C8,"","Đổi"))</f>
        <v/>
      </c>
      <c r="F8" s="14"/>
    </row>
    <row r="9" customFormat="false" ht="15.75" hidden="false" customHeight="true" outlineLevel="0" collapsed="false">
      <c r="A9" s="13" t="s">
        <v>354</v>
      </c>
      <c r="B9" s="14" t="s">
        <v>356</v>
      </c>
      <c r="C9" s="18"/>
      <c r="D9" s="18"/>
      <c r="E9" s="13" t="str">
        <f aca="false">IF(D9="","",IF(D9=C9,"","Đổi"))</f>
        <v/>
      </c>
      <c r="F9" s="14" t="s">
        <v>357</v>
      </c>
    </row>
    <row r="10" customFormat="false" ht="28.5" hidden="false" customHeight="true" outlineLevel="0" collapsed="false">
      <c r="A10" s="13" t="s">
        <v>354</v>
      </c>
      <c r="B10" s="14" t="s">
        <v>358</v>
      </c>
      <c r="C10" s="18" t="s">
        <v>359</v>
      </c>
      <c r="D10" s="18"/>
      <c r="E10" s="13" t="str">
        <f aca="false">IF(D10="","",IF(D10=C10,"","Đổi"))</f>
        <v/>
      </c>
      <c r="F10" s="14" t="s">
        <v>360</v>
      </c>
    </row>
    <row r="11" customFormat="false" ht="15.75" hidden="false" customHeight="true" outlineLevel="0" collapsed="false">
      <c r="A11" s="13" t="s">
        <v>354</v>
      </c>
      <c r="B11" s="14" t="s">
        <v>361</v>
      </c>
      <c r="C11" s="18"/>
      <c r="D11" s="18"/>
      <c r="E11" s="13" t="str">
        <f aca="false">IF(D11="","",IF(D11=C11,"","Đổi"))</f>
        <v/>
      </c>
      <c r="F11" s="14"/>
    </row>
    <row r="12" customFormat="false" ht="15.75" hidden="false" customHeight="true" outlineLevel="0" collapsed="false">
      <c r="A12" s="13" t="s">
        <v>362</v>
      </c>
      <c r="B12" s="14" t="s">
        <v>363</v>
      </c>
      <c r="C12" s="18"/>
      <c r="D12" s="18"/>
      <c r="E12" s="13" t="str">
        <f aca="false">IF(D12="","",IF(D12=C12,"","Đổi"))</f>
        <v/>
      </c>
      <c r="F12" s="14"/>
    </row>
    <row r="13" customFormat="false" ht="15.75" hidden="false" customHeight="true" outlineLevel="0" collapsed="false">
      <c r="A13" s="13" t="s">
        <v>362</v>
      </c>
      <c r="B13" s="14" t="s">
        <v>364</v>
      </c>
      <c r="C13" s="18"/>
      <c r="D13" s="18"/>
      <c r="E13" s="13" t="str">
        <f aca="false">IF(D13="","",IF(D13=C13,"","Đổi"))</f>
        <v/>
      </c>
      <c r="F13" s="14" t="s">
        <v>365</v>
      </c>
    </row>
    <row r="14" customFormat="false" ht="15.75" hidden="false" customHeight="true" outlineLevel="0" collapsed="false">
      <c r="A14" s="13" t="s">
        <v>362</v>
      </c>
      <c r="B14" s="14" t="s">
        <v>366</v>
      </c>
      <c r="C14" s="18"/>
      <c r="D14" s="18"/>
      <c r="E14" s="13" t="str">
        <f aca="false">IF(D14="","",IF(D14=C14,"","Đổi"))</f>
        <v/>
      </c>
      <c r="F14" s="14"/>
    </row>
    <row r="15" customFormat="false" ht="28.5" hidden="false" customHeight="true" outlineLevel="0" collapsed="false">
      <c r="A15" s="13" t="s">
        <v>367</v>
      </c>
      <c r="B15" s="14" t="s">
        <v>368</v>
      </c>
      <c r="C15" s="18"/>
      <c r="D15" s="18"/>
      <c r="E15" s="13" t="str">
        <f aca="false">IF(D15="","",IF(D15=C15,"","Đổi"))</f>
        <v/>
      </c>
      <c r="F15" s="14" t="s">
        <v>369</v>
      </c>
    </row>
    <row r="16" customFormat="false" ht="15.75" hidden="false" customHeight="true" outlineLevel="0" collapsed="false">
      <c r="A16" s="13" t="s">
        <v>367</v>
      </c>
      <c r="B16" s="14" t="s">
        <v>370</v>
      </c>
      <c r="C16" s="18"/>
      <c r="D16" s="18"/>
      <c r="E16" s="13" t="str">
        <f aca="false">IF(D16="","",IF(D16=C16,"","Đổi"))</f>
        <v/>
      </c>
      <c r="F16" s="14" t="s">
        <v>371</v>
      </c>
    </row>
    <row r="17" customFormat="false" ht="15.75" hidden="false" customHeight="true" outlineLevel="0" collapsed="false">
      <c r="A17" s="13" t="s">
        <v>372</v>
      </c>
      <c r="B17" s="14" t="s">
        <v>373</v>
      </c>
      <c r="C17" s="18"/>
      <c r="D17" s="18"/>
      <c r="E17" s="13" t="str">
        <f aca="false">IF(D17="","",IF(D17=C17,"","Đổi"))</f>
        <v/>
      </c>
      <c r="F17" s="14" t="s">
        <v>374</v>
      </c>
    </row>
    <row r="18" customFormat="false" ht="15.75" hidden="false" customHeight="true" outlineLevel="0" collapsed="false">
      <c r="A18" s="13" t="s">
        <v>372</v>
      </c>
      <c r="B18" s="14" t="s">
        <v>375</v>
      </c>
      <c r="C18" s="18"/>
      <c r="D18" s="18"/>
      <c r="E18" s="13" t="str">
        <f aca="false">IF(D18="","",IF(D18=C18,"","Đổi"))</f>
        <v/>
      </c>
      <c r="F18" s="14" t="s">
        <v>376</v>
      </c>
    </row>
    <row r="19" customFormat="false" ht="15.75" hidden="false" customHeight="true" outlineLevel="0" collapsed="false">
      <c r="A19" s="13" t="s">
        <v>377</v>
      </c>
      <c r="B19" s="14" t="s">
        <v>378</v>
      </c>
      <c r="C19" s="18" t="n">
        <v>16000</v>
      </c>
      <c r="D19" s="18"/>
      <c r="E19" s="13" t="str">
        <f aca="false">IF(D19="","",IF(D19=C19,"","Đổi"))</f>
        <v/>
      </c>
      <c r="F19" s="14" t="s">
        <v>379</v>
      </c>
    </row>
    <row r="20" customFormat="false" ht="15.75" hidden="false" customHeight="true" outlineLevel="0" collapsed="false">
      <c r="A20" s="13" t="s">
        <v>377</v>
      </c>
      <c r="B20" s="14" t="s">
        <v>380</v>
      </c>
      <c r="C20" s="18" t="n">
        <v>0.96</v>
      </c>
      <c r="D20" s="18"/>
      <c r="E20" s="13" t="str">
        <f aca="false">IF(D20="","",IF(D20=C20,"","Đổi"))</f>
        <v/>
      </c>
      <c r="F20" s="14" t="s">
        <v>381</v>
      </c>
    </row>
    <row r="21" customFormat="false" ht="15.75" hidden="false" customHeight="true" outlineLevel="0" collapsed="false">
      <c r="A21" s="13" t="s">
        <v>377</v>
      </c>
      <c r="B21" s="14" t="s">
        <v>382</v>
      </c>
      <c r="C21" s="18" t="n">
        <v>0.08</v>
      </c>
      <c r="D21" s="18"/>
      <c r="E21" s="13" t="str">
        <f aca="false">IF(D21="","",IF(D21=C21,"","Đổi"))</f>
        <v/>
      </c>
      <c r="F21" s="14"/>
    </row>
    <row r="22" customFormat="false" ht="15.75" hidden="false" customHeight="true" outlineLevel="0" collapsed="false">
      <c r="A22" s="13" t="s">
        <v>377</v>
      </c>
      <c r="B22" s="14" t="s">
        <v>383</v>
      </c>
      <c r="C22" s="18"/>
      <c r="D22" s="18"/>
      <c r="E22" s="13" t="str">
        <f aca="false">IF(D22="","",IF(D22=C22,"","Đổi"))</f>
        <v/>
      </c>
      <c r="F22" s="14" t="s">
        <v>384</v>
      </c>
    </row>
    <row r="23" customFormat="false" ht="15.75" hidden="false" customHeight="true" outlineLevel="0" collapsed="false">
      <c r="A23" s="13" t="s">
        <v>377</v>
      </c>
      <c r="B23" s="14" t="s">
        <v>385</v>
      </c>
      <c r="C23" s="18"/>
      <c r="D23" s="18"/>
      <c r="E23" s="13" t="str">
        <f aca="false">IF(D23="","",IF(D23=C23,"","Đổi"))</f>
        <v/>
      </c>
      <c r="F23" s="14" t="s">
        <v>386</v>
      </c>
    </row>
    <row r="24" customFormat="false" ht="28.5" hidden="false" customHeight="true" outlineLevel="0" collapsed="false">
      <c r="A24" s="13" t="s">
        <v>377</v>
      </c>
      <c r="B24" s="14" t="s">
        <v>387</v>
      </c>
      <c r="C24" s="18" t="n">
        <v>0.6026</v>
      </c>
      <c r="D24" s="18"/>
      <c r="E24" s="13" t="str">
        <f aca="false">IF(D24="","",IF(D24=C24,"","Đổi"))</f>
        <v/>
      </c>
      <c r="F24" s="14" t="s">
        <v>388</v>
      </c>
    </row>
    <row r="25" customFormat="false" ht="15.75" hidden="false" customHeight="true" outlineLevel="0" collapsed="false">
      <c r="A25" s="13" t="s">
        <v>377</v>
      </c>
      <c r="B25" s="14" t="s">
        <v>389</v>
      </c>
      <c r="C25" s="18" t="n">
        <v>100</v>
      </c>
      <c r="D25" s="18"/>
      <c r="E25" s="13" t="str">
        <f aca="false">IF(D25="","",IF(D25=C25,"","Đổi"))</f>
        <v/>
      </c>
      <c r="F25" s="14" t="s">
        <v>390</v>
      </c>
    </row>
    <row r="26" customFormat="false" ht="15.75" hidden="false" customHeight="true" outlineLevel="0" collapsed="false">
      <c r="A26" s="13" t="s">
        <v>377</v>
      </c>
      <c r="B26" s="14" t="s">
        <v>391</v>
      </c>
      <c r="C26" s="18" t="n">
        <v>120</v>
      </c>
      <c r="D26" s="18"/>
      <c r="E26" s="13" t="str">
        <f aca="false">IF(D26="","",IF(D26=C26,"","Đổi"))</f>
        <v/>
      </c>
      <c r="F26" s="14" t="s">
        <v>390</v>
      </c>
    </row>
    <row r="27" customFormat="false" ht="15.75" hidden="false" customHeight="true" outlineLevel="0" collapsed="false">
      <c r="A27" s="13" t="s">
        <v>377</v>
      </c>
      <c r="B27" s="14" t="s">
        <v>392</v>
      </c>
      <c r="C27" s="18"/>
      <c r="D27" s="18"/>
      <c r="E27" s="13" t="str">
        <f aca="false">IF(D27="","",IF(D27=C27,"","Đổi"))</f>
        <v/>
      </c>
      <c r="F27" s="14" t="s">
        <v>393</v>
      </c>
    </row>
    <row r="28" customFormat="false" ht="15.75" hidden="false" customHeight="true" outlineLevel="0" collapsed="false">
      <c r="A28" s="13" t="s">
        <v>377</v>
      </c>
      <c r="B28" s="14" t="s">
        <v>394</v>
      </c>
      <c r="C28" s="18" t="n">
        <v>500</v>
      </c>
      <c r="D28" s="18"/>
      <c r="E28" s="13" t="str">
        <f aca="false">IF(D28="","",IF(D28=C28,"","Đổi"))</f>
        <v/>
      </c>
      <c r="F28" s="14" t="s">
        <v>390</v>
      </c>
    </row>
    <row r="29" customFormat="false" ht="15.75" hidden="false" customHeight="true" outlineLevel="0" collapsed="false">
      <c r="A29" s="13" t="s">
        <v>377</v>
      </c>
      <c r="B29" s="14" t="s">
        <v>395</v>
      </c>
      <c r="C29" s="18" t="s">
        <v>396</v>
      </c>
      <c r="D29" s="18"/>
      <c r="E29" s="13" t="str">
        <f aca="false">IF(D29="","",IF(D29=C29,"","Đổi"))</f>
        <v/>
      </c>
      <c r="F29" s="14" t="s">
        <v>397</v>
      </c>
    </row>
    <row r="30" customFormat="false" ht="15.75" hidden="false" customHeight="true" outlineLevel="0" collapsed="false">
      <c r="A30" s="13" t="s">
        <v>377</v>
      </c>
      <c r="B30" s="14" t="s">
        <v>398</v>
      </c>
      <c r="C30" s="18" t="n">
        <v>0.5</v>
      </c>
      <c r="D30" s="18"/>
      <c r="E30" s="13" t="str">
        <f aca="false">IF(D30="","",IF(D30=C30,"","Đổi"))</f>
        <v/>
      </c>
      <c r="F30" s="14"/>
    </row>
    <row r="31" customFormat="false" ht="15.75" hidden="false" customHeight="true" outlineLevel="0" collapsed="false">
      <c r="A31" s="13" t="s">
        <v>399</v>
      </c>
      <c r="B31" s="14" t="s">
        <v>400</v>
      </c>
      <c r="C31" s="18"/>
      <c r="D31" s="18"/>
      <c r="E31" s="13" t="str">
        <f aca="false">IF(D31="","",IF(D31=C31,"","Đổi"))</f>
        <v/>
      </c>
      <c r="F31" s="14"/>
    </row>
    <row r="32" customFormat="false" ht="15.75" hidden="false" customHeight="true" outlineLevel="0" collapsed="false">
      <c r="A32" s="13" t="s">
        <v>399</v>
      </c>
      <c r="B32" s="14" t="s">
        <v>401</v>
      </c>
      <c r="C32" s="18"/>
      <c r="D32" s="18"/>
      <c r="E32" s="13" t="str">
        <f aca="false">IF(D32="","",IF(D32=C32,"","Đổi"))</f>
        <v/>
      </c>
      <c r="F32" s="14"/>
    </row>
    <row r="33" customFormat="false" ht="15.75" hidden="false" customHeight="true" outlineLevel="0" collapsed="false">
      <c r="A33" s="13" t="s">
        <v>399</v>
      </c>
      <c r="B33" s="14" t="s">
        <v>402</v>
      </c>
      <c r="C33" s="18"/>
      <c r="D33" s="18"/>
      <c r="E33" s="13" t="str">
        <f aca="false">IF(D33="","",IF(D33=C33,"","Đổi"))</f>
        <v/>
      </c>
      <c r="F33" s="14"/>
    </row>
    <row r="34" customFormat="false" ht="15.75" hidden="false" customHeight="true" outlineLevel="0" collapsed="false">
      <c r="A34" s="13" t="s">
        <v>399</v>
      </c>
      <c r="B34" s="14" t="s">
        <v>403</v>
      </c>
      <c r="C34" s="18"/>
      <c r="D34" s="18"/>
      <c r="E34" s="13" t="str">
        <f aca="false">IF(D34="","",IF(D34=C34,"","Đổi"))</f>
        <v/>
      </c>
      <c r="F34" s="14"/>
    </row>
    <row r="35" customFormat="false" ht="15.75" hidden="false" customHeight="true" outlineLevel="0" collapsed="false">
      <c r="A35" s="13" t="s">
        <v>399</v>
      </c>
      <c r="B35" s="14" t="s">
        <v>404</v>
      </c>
      <c r="C35" s="18"/>
      <c r="D35" s="18"/>
      <c r="E35" s="13" t="str">
        <f aca="false">IF(D35="","",IF(D35=C35,"","Đổi"))</f>
        <v/>
      </c>
      <c r="F35" s="14" t="s">
        <v>405</v>
      </c>
    </row>
    <row r="36" customFormat="false" ht="15.75" hidden="false" customHeight="true" outlineLevel="0" collapsed="false">
      <c r="A36" s="13" t="s">
        <v>399</v>
      </c>
      <c r="B36" s="14" t="s">
        <v>406</v>
      </c>
      <c r="C36" s="18"/>
      <c r="D36" s="18"/>
      <c r="E36" s="13" t="str">
        <f aca="false">IF(D36="","",IF(D36=C36,"","Đổi"))</f>
        <v/>
      </c>
      <c r="F36" s="14" t="s">
        <v>407</v>
      </c>
    </row>
    <row r="37" customFormat="false" ht="15.75" hidden="false" customHeight="true" outlineLevel="0" collapsed="false">
      <c r="A37" s="13" t="s">
        <v>408</v>
      </c>
      <c r="B37" s="14" t="s">
        <v>409</v>
      </c>
      <c r="C37" s="18"/>
      <c r="D37" s="18"/>
      <c r="E37" s="13" t="str">
        <f aca="false">IF(D37="","",IF(D37=C37,"","Đổi"))</f>
        <v/>
      </c>
      <c r="F37" s="14"/>
    </row>
    <row r="38" customFormat="false" ht="15.75" hidden="false" customHeight="true" outlineLevel="0" collapsed="false">
      <c r="A38" s="13" t="s">
        <v>408</v>
      </c>
      <c r="B38" s="14" t="s">
        <v>410</v>
      </c>
      <c r="C38" s="18"/>
      <c r="D38" s="18"/>
      <c r="E38" s="13" t="str">
        <f aca="false">IF(D38="","",IF(D38=C38,"","Đổi"))</f>
        <v/>
      </c>
      <c r="F38" s="14" t="s">
        <v>411</v>
      </c>
    </row>
    <row r="39" customFormat="false" ht="15.75" hidden="false" customHeight="true" outlineLevel="0" collapsed="false">
      <c r="A39" s="13" t="s">
        <v>408</v>
      </c>
      <c r="B39" s="14" t="s">
        <v>412</v>
      </c>
      <c r="C39" s="18"/>
      <c r="D39" s="18"/>
      <c r="E39" s="13" t="str">
        <f aca="false">IF(D39="","",IF(D39=C39,"","Đổi"))</f>
        <v/>
      </c>
      <c r="F39" s="14" t="s">
        <v>413</v>
      </c>
    </row>
    <row r="40" customFormat="false" ht="15.75" hidden="false" customHeight="true" outlineLevel="0" collapsed="false">
      <c r="A40" s="13" t="s">
        <v>414</v>
      </c>
      <c r="B40" s="14" t="s">
        <v>415</v>
      </c>
      <c r="C40" s="18"/>
      <c r="D40" s="18"/>
      <c r="E40" s="13" t="str">
        <f aca="false">IF(D40="","",IF(D40=C40,"","Đổi"))</f>
        <v/>
      </c>
      <c r="F40" s="14" t="s">
        <v>416</v>
      </c>
    </row>
    <row r="41" customFormat="false" ht="28.5" hidden="false" customHeight="true" outlineLevel="0" collapsed="false">
      <c r="A41" s="13" t="s">
        <v>414</v>
      </c>
      <c r="B41" s="14" t="s">
        <v>417</v>
      </c>
      <c r="C41" s="18"/>
      <c r="D41" s="18"/>
      <c r="E41" s="13" t="str">
        <f aca="false">IF(D41="","",IF(D41=C41,"","Đổi"))</f>
        <v/>
      </c>
      <c r="F41" s="14" t="s">
        <v>418</v>
      </c>
    </row>
  </sheetData>
  <conditionalFormatting sqref="E5:E41">
    <cfRule type="cellIs" priority="2" operator="equal" aboveAverage="0" equalAverage="0" bottom="0" percent="0" rank="0" text="" dxfId="2">
      <formula>"Đổi"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55"/>
    <col collapsed="false" customWidth="true" hidden="false" outlineLevel="0" max="5" min="5" style="1" width="34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53" t="s">
        <v>419</v>
      </c>
    </row>
    <row r="2" customFormat="false" ht="15" hidden="false" customHeight="true" outlineLevel="0" collapsed="false">
      <c r="A2" s="54" t="s">
        <v>420</v>
      </c>
    </row>
    <row r="4" customFormat="false" ht="15" hidden="false" customHeight="true" outlineLevel="0" collapsed="false">
      <c r="A4" s="12" t="s">
        <v>76</v>
      </c>
      <c r="B4" s="12" t="s">
        <v>421</v>
      </c>
      <c r="C4" s="12" t="s">
        <v>422</v>
      </c>
      <c r="D4" s="12" t="s">
        <v>77</v>
      </c>
      <c r="E4" s="12" t="s">
        <v>78</v>
      </c>
      <c r="F4" s="12" t="s">
        <v>423</v>
      </c>
      <c r="G4" s="12" t="s">
        <v>86</v>
      </c>
      <c r="H4" s="12" t="s">
        <v>89</v>
      </c>
    </row>
    <row r="5" customFormat="false" ht="34.5" hidden="false" customHeight="true" outlineLevel="0" collapsed="false">
      <c r="A5" s="13" t="n">
        <v>1</v>
      </c>
      <c r="B5" s="14" t="s">
        <v>424</v>
      </c>
      <c r="C5" s="14" t="s">
        <v>425</v>
      </c>
      <c r="D5" s="14" t="s">
        <v>426</v>
      </c>
      <c r="E5" s="14" t="s">
        <v>427</v>
      </c>
      <c r="F5" s="14" t="s">
        <v>428</v>
      </c>
      <c r="G5" s="18" t="s">
        <v>98</v>
      </c>
      <c r="H5" s="55"/>
    </row>
    <row r="6" customFormat="false" ht="34.5" hidden="false" customHeight="true" outlineLevel="0" collapsed="false">
      <c r="A6" s="13" t="n">
        <v>2</v>
      </c>
      <c r="B6" s="14" t="s">
        <v>429</v>
      </c>
      <c r="C6" s="14" t="s">
        <v>430</v>
      </c>
      <c r="D6" s="14" t="s">
        <v>431</v>
      </c>
      <c r="E6" s="14" t="s">
        <v>432</v>
      </c>
      <c r="F6" s="14" t="s">
        <v>433</v>
      </c>
      <c r="G6" s="18" t="s">
        <v>98</v>
      </c>
      <c r="H6" s="55"/>
    </row>
    <row r="7" customFormat="false" ht="23.25" hidden="false" customHeight="true" outlineLevel="0" collapsed="false">
      <c r="A7" s="13" t="n">
        <v>3</v>
      </c>
      <c r="B7" s="14" t="s">
        <v>434</v>
      </c>
      <c r="C7" s="14" t="s">
        <v>435</v>
      </c>
      <c r="D7" s="14" t="s">
        <v>436</v>
      </c>
      <c r="E7" s="14" t="s">
        <v>437</v>
      </c>
      <c r="F7" s="14" t="s">
        <v>438</v>
      </c>
      <c r="G7" s="18" t="s">
        <v>98</v>
      </c>
      <c r="H7" s="55"/>
    </row>
    <row r="8" customFormat="false" ht="34.5" hidden="false" customHeight="true" outlineLevel="0" collapsed="false">
      <c r="A8" s="13" t="n">
        <v>4</v>
      </c>
      <c r="B8" s="14" t="s">
        <v>439</v>
      </c>
      <c r="C8" s="14" t="s">
        <v>440</v>
      </c>
      <c r="D8" s="14" t="s">
        <v>441</v>
      </c>
      <c r="E8" s="14" t="s">
        <v>442</v>
      </c>
      <c r="F8" s="14" t="s">
        <v>443</v>
      </c>
      <c r="G8" s="18" t="s">
        <v>98</v>
      </c>
      <c r="H8" s="55"/>
    </row>
    <row r="9" customFormat="false" ht="34.5" hidden="false" customHeight="true" outlineLevel="0" collapsed="false">
      <c r="A9" s="13" t="n">
        <v>5</v>
      </c>
      <c r="B9" s="14" t="s">
        <v>444</v>
      </c>
      <c r="C9" s="14" t="s">
        <v>445</v>
      </c>
      <c r="D9" s="14" t="s">
        <v>446</v>
      </c>
      <c r="E9" s="14" t="s">
        <v>447</v>
      </c>
      <c r="F9" s="14" t="s">
        <v>448</v>
      </c>
      <c r="G9" s="18" t="s">
        <v>98</v>
      </c>
      <c r="H9" s="55"/>
    </row>
    <row r="10" customFormat="false" ht="34.5" hidden="false" customHeight="true" outlineLevel="0" collapsed="false">
      <c r="A10" s="13" t="n">
        <v>6</v>
      </c>
      <c r="B10" s="14" t="s">
        <v>449</v>
      </c>
      <c r="C10" s="14" t="s">
        <v>450</v>
      </c>
      <c r="D10" s="14" t="s">
        <v>451</v>
      </c>
      <c r="E10" s="14" t="s">
        <v>452</v>
      </c>
      <c r="F10" s="14" t="s">
        <v>453</v>
      </c>
      <c r="G10" s="18" t="s">
        <v>98</v>
      </c>
      <c r="H10" s="55"/>
    </row>
    <row r="11" customFormat="false" ht="23.25" hidden="false" customHeight="true" outlineLevel="0" collapsed="false">
      <c r="A11" s="13" t="n">
        <v>7</v>
      </c>
      <c r="B11" s="14" t="s">
        <v>454</v>
      </c>
      <c r="C11" s="14" t="s">
        <v>455</v>
      </c>
      <c r="D11" s="14" t="s">
        <v>456</v>
      </c>
      <c r="E11" s="14" t="s">
        <v>457</v>
      </c>
      <c r="F11" s="14" t="s">
        <v>458</v>
      </c>
      <c r="G11" s="18" t="s">
        <v>98</v>
      </c>
      <c r="H11" s="55"/>
    </row>
    <row r="12" customFormat="false" ht="34.5" hidden="false" customHeight="true" outlineLevel="0" collapsed="false">
      <c r="A12" s="13" t="n">
        <v>8</v>
      </c>
      <c r="B12" s="14" t="s">
        <v>459</v>
      </c>
      <c r="C12" s="14" t="s">
        <v>460</v>
      </c>
      <c r="D12" s="14" t="s">
        <v>461</v>
      </c>
      <c r="E12" s="14" t="s">
        <v>462</v>
      </c>
      <c r="F12" s="14" t="s">
        <v>463</v>
      </c>
      <c r="G12" s="18" t="s">
        <v>98</v>
      </c>
      <c r="H12" s="55"/>
    </row>
    <row r="14" customFormat="false" ht="15" hidden="false" customHeight="true" outlineLevel="0" collapsed="false">
      <c r="A14" s="56" t="s">
        <v>44</v>
      </c>
      <c r="B14" s="57" t="n">
        <f aca="false">COUNTIF(G5:G12,"Đạt")/(COUNTA(G5:G12)-COUNTIF(G5:G12,"Không áp dụng"))</f>
        <v>0</v>
      </c>
      <c r="C14" s="58" t="s">
        <v>464</v>
      </c>
    </row>
  </sheetData>
  <conditionalFormatting sqref="G5:G12">
    <cfRule type="cellIs" priority="2" operator="equal" aboveAverage="0" equalAverage="0" bottom="0" percent="0" rank="0" text="" dxfId="3">
      <formula>"Đạt"</formula>
    </cfRule>
    <cfRule type="cellIs" priority="3" operator="equal" aboveAverage="0" equalAverage="0" bottom="0" percent="0" rank="0" text="" dxfId="4">
      <formula>"Không đạt"</formula>
    </cfRule>
    <cfRule type="cellIs" priority="4" operator="equal" aboveAverage="0" equalAverage="0" bottom="0" percent="0" rank="0" text="" dxfId="5">
      <formula>"Đang làm"</formula>
    </cfRule>
  </conditionalFormatting>
  <dataValidations count="1">
    <dataValidation allowBlank="true" errorStyle="stop" operator="between" showDropDown="false" showErrorMessage="false" showInputMessage="false" sqref="G5:G12" type="list">
      <formula1>"Chưa làm,Đang làm,Đạt,Không đạt,Không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44"/>
    <col collapsed="false" customWidth="true" hidden="false" outlineLevel="0" max="4" min="4" style="1" width="40"/>
    <col collapsed="false" customWidth="true" hidden="false" outlineLevel="0" max="6" min="5" style="1" width="30"/>
  </cols>
  <sheetData>
    <row r="1" customFormat="false" ht="17.25" hidden="false" customHeight="true" outlineLevel="0" collapsed="false">
      <c r="A1" s="53" t="s">
        <v>465</v>
      </c>
    </row>
    <row r="2" customFormat="false" ht="15" hidden="false" customHeight="true" outlineLevel="0" collapsed="false">
      <c r="A2" s="54" t="s">
        <v>466</v>
      </c>
    </row>
    <row r="4" customFormat="false" ht="15" hidden="false" customHeight="true" outlineLevel="0" collapsed="false">
      <c r="A4" s="12" t="s">
        <v>467</v>
      </c>
      <c r="B4" s="12" t="s">
        <v>468</v>
      </c>
      <c r="C4" s="12" t="s">
        <v>469</v>
      </c>
      <c r="D4" s="12" t="s">
        <v>470</v>
      </c>
      <c r="E4" s="12" t="s">
        <v>423</v>
      </c>
      <c r="F4" s="12" t="s">
        <v>471</v>
      </c>
    </row>
    <row r="5" customFormat="false" ht="23.25" hidden="false" customHeight="true" outlineLevel="0" collapsed="false">
      <c r="A5" s="13" t="s">
        <v>472</v>
      </c>
      <c r="B5" s="14" t="s">
        <v>473</v>
      </c>
      <c r="C5" s="14" t="s">
        <v>474</v>
      </c>
      <c r="D5" s="14" t="s">
        <v>475</v>
      </c>
      <c r="E5" s="14" t="s">
        <v>476</v>
      </c>
      <c r="F5" s="14" t="s">
        <v>477</v>
      </c>
    </row>
    <row r="6" customFormat="false" ht="15" hidden="false" customHeight="true" outlineLevel="0" collapsed="false">
      <c r="A6" s="13" t="s">
        <v>472</v>
      </c>
      <c r="B6" s="14" t="s">
        <v>478</v>
      </c>
      <c r="C6" s="14" t="s">
        <v>479</v>
      </c>
      <c r="D6" s="14" t="s">
        <v>480</v>
      </c>
      <c r="E6" s="14" t="s">
        <v>481</v>
      </c>
      <c r="F6" s="14" t="s">
        <v>482</v>
      </c>
    </row>
    <row r="7" customFormat="false" ht="15" hidden="false" customHeight="true" outlineLevel="0" collapsed="false">
      <c r="A7" s="13" t="s">
        <v>472</v>
      </c>
      <c r="B7" s="14" t="s">
        <v>483</v>
      </c>
      <c r="C7" s="14" t="s">
        <v>484</v>
      </c>
      <c r="D7" s="14" t="s">
        <v>485</v>
      </c>
      <c r="E7" s="14" t="s">
        <v>486</v>
      </c>
      <c r="F7" s="14" t="s">
        <v>487</v>
      </c>
    </row>
    <row r="8" customFormat="false" ht="15" hidden="false" customHeight="true" outlineLevel="0" collapsed="false">
      <c r="A8" s="13" t="s">
        <v>472</v>
      </c>
      <c r="B8" s="14" t="s">
        <v>488</v>
      </c>
      <c r="C8" s="14" t="s">
        <v>489</v>
      </c>
      <c r="D8" s="14" t="s">
        <v>490</v>
      </c>
      <c r="E8" s="14" t="s">
        <v>491</v>
      </c>
      <c r="F8" s="14" t="s">
        <v>487</v>
      </c>
    </row>
    <row r="9" customFormat="false" ht="15" hidden="false" customHeight="true" outlineLevel="0" collapsed="false">
      <c r="A9" s="13" t="s">
        <v>472</v>
      </c>
      <c r="B9" s="14" t="s">
        <v>492</v>
      </c>
      <c r="C9" s="14" t="s">
        <v>493</v>
      </c>
      <c r="D9" s="14" t="s">
        <v>494</v>
      </c>
      <c r="E9" s="14" t="s">
        <v>495</v>
      </c>
      <c r="F9" s="14" t="s">
        <v>487</v>
      </c>
    </row>
    <row r="10" customFormat="false" ht="15" hidden="false" customHeight="true" outlineLevel="0" collapsed="false">
      <c r="A10" s="13" t="s">
        <v>496</v>
      </c>
      <c r="B10" s="14" t="s">
        <v>497</v>
      </c>
      <c r="C10" s="14" t="s">
        <v>498</v>
      </c>
      <c r="D10" s="14" t="s">
        <v>499</v>
      </c>
      <c r="E10" s="14" t="s">
        <v>500</v>
      </c>
      <c r="F10" s="14" t="s">
        <v>501</v>
      </c>
    </row>
    <row r="11" customFormat="false" ht="15" hidden="false" customHeight="true" outlineLevel="0" collapsed="false">
      <c r="A11" s="13" t="s">
        <v>496</v>
      </c>
      <c r="B11" s="14" t="s">
        <v>502</v>
      </c>
      <c r="C11" s="14" t="s">
        <v>503</v>
      </c>
      <c r="D11" s="14" t="s">
        <v>504</v>
      </c>
      <c r="E11" s="14" t="s">
        <v>500</v>
      </c>
      <c r="F11" s="14" t="s">
        <v>501</v>
      </c>
    </row>
    <row r="12" customFormat="false" ht="15" hidden="false" customHeight="true" outlineLevel="0" collapsed="false">
      <c r="A12" s="13" t="s">
        <v>496</v>
      </c>
      <c r="B12" s="14" t="s">
        <v>505</v>
      </c>
      <c r="C12" s="14" t="s">
        <v>506</v>
      </c>
      <c r="D12" s="14" t="s">
        <v>507</v>
      </c>
      <c r="E12" s="14" t="s">
        <v>508</v>
      </c>
      <c r="F12" s="14" t="s">
        <v>509</v>
      </c>
    </row>
    <row r="13" customFormat="false" ht="15" hidden="false" customHeight="true" outlineLevel="0" collapsed="false">
      <c r="A13" s="13" t="s">
        <v>496</v>
      </c>
      <c r="B13" s="14" t="s">
        <v>510</v>
      </c>
      <c r="C13" s="14" t="s">
        <v>511</v>
      </c>
      <c r="D13" s="14" t="s">
        <v>512</v>
      </c>
      <c r="E13" s="14" t="s">
        <v>508</v>
      </c>
      <c r="F13" s="14" t="s">
        <v>509</v>
      </c>
    </row>
    <row r="14" customFormat="false" ht="23.25" hidden="false" customHeight="true" outlineLevel="0" collapsed="false">
      <c r="A14" s="13" t="s">
        <v>496</v>
      </c>
      <c r="B14" s="14" t="s">
        <v>513</v>
      </c>
      <c r="C14" s="14" t="s">
        <v>514</v>
      </c>
      <c r="D14" s="14" t="s">
        <v>515</v>
      </c>
      <c r="E14" s="14" t="s">
        <v>516</v>
      </c>
      <c r="F14" s="14" t="s">
        <v>517</v>
      </c>
    </row>
    <row r="15" customFormat="false" ht="15" hidden="false" customHeight="true" outlineLevel="0" collapsed="false">
      <c r="A15" s="13" t="s">
        <v>496</v>
      </c>
      <c r="B15" s="14" t="s">
        <v>518</v>
      </c>
      <c r="C15" s="14" t="s">
        <v>519</v>
      </c>
      <c r="D15" s="14" t="s">
        <v>520</v>
      </c>
      <c r="E15" s="14" t="s">
        <v>521</v>
      </c>
      <c r="F15" s="14" t="s">
        <v>509</v>
      </c>
    </row>
    <row r="16" customFormat="false" ht="23.25" hidden="false" customHeight="true" outlineLevel="0" collapsed="false">
      <c r="A16" s="13" t="s">
        <v>496</v>
      </c>
      <c r="B16" s="14" t="s">
        <v>522</v>
      </c>
      <c r="C16" s="14" t="s">
        <v>523</v>
      </c>
      <c r="D16" s="14" t="s">
        <v>524</v>
      </c>
      <c r="E16" s="14" t="s">
        <v>525</v>
      </c>
      <c r="F16" s="14" t="s">
        <v>526</v>
      </c>
    </row>
    <row r="17" customFormat="false" ht="23.25" hidden="false" customHeight="true" outlineLevel="0" collapsed="false">
      <c r="A17" s="13" t="s">
        <v>496</v>
      </c>
      <c r="B17" s="14" t="s">
        <v>527</v>
      </c>
      <c r="C17" s="14" t="s">
        <v>528</v>
      </c>
      <c r="D17" s="14" t="s">
        <v>529</v>
      </c>
      <c r="E17" s="14" t="s">
        <v>530</v>
      </c>
      <c r="F17" s="14" t="s">
        <v>531</v>
      </c>
    </row>
    <row r="18" customFormat="false" ht="23.25" hidden="false" customHeight="true" outlineLevel="0" collapsed="false">
      <c r="A18" s="13" t="s">
        <v>496</v>
      </c>
      <c r="B18" s="14" t="s">
        <v>532</v>
      </c>
      <c r="C18" s="14" t="s">
        <v>533</v>
      </c>
      <c r="D18" s="14" t="s">
        <v>534</v>
      </c>
      <c r="E18" s="14" t="s">
        <v>535</v>
      </c>
      <c r="F18" s="14" t="s">
        <v>526</v>
      </c>
    </row>
    <row r="19" customFormat="false" ht="15" hidden="false" customHeight="true" outlineLevel="0" collapsed="false">
      <c r="A19" s="13" t="s">
        <v>496</v>
      </c>
      <c r="B19" s="14" t="s">
        <v>536</v>
      </c>
      <c r="C19" s="14" t="s">
        <v>537</v>
      </c>
      <c r="D19" s="14" t="s">
        <v>538</v>
      </c>
      <c r="E19" s="14" t="s">
        <v>525</v>
      </c>
      <c r="F19" s="14" t="s">
        <v>539</v>
      </c>
    </row>
    <row r="20" customFormat="false" ht="28.5" hidden="false" customHeight="true" outlineLevel="0" collapsed="false">
      <c r="A20" s="13" t="s">
        <v>540</v>
      </c>
      <c r="B20" s="14" t="s">
        <v>541</v>
      </c>
      <c r="C20" s="14" t="s">
        <v>542</v>
      </c>
      <c r="D20" s="14" t="s">
        <v>543</v>
      </c>
      <c r="E20" s="14" t="s">
        <v>544</v>
      </c>
      <c r="F20" s="14" t="s">
        <v>545</v>
      </c>
    </row>
    <row r="21" customFormat="false" ht="15.75" hidden="false" customHeight="true" outlineLevel="0" collapsed="false">
      <c r="A21" s="13" t="s">
        <v>540</v>
      </c>
      <c r="B21" s="14" t="s">
        <v>546</v>
      </c>
      <c r="C21" s="14" t="s">
        <v>547</v>
      </c>
      <c r="D21" s="14" t="s">
        <v>548</v>
      </c>
      <c r="E21" s="14" t="s">
        <v>549</v>
      </c>
      <c r="F21" s="14" t="s">
        <v>545</v>
      </c>
    </row>
    <row r="22" customFormat="false" ht="28.5" hidden="false" customHeight="true" outlineLevel="0" collapsed="false">
      <c r="A22" s="13" t="s">
        <v>540</v>
      </c>
      <c r="B22" s="14" t="s">
        <v>550</v>
      </c>
      <c r="C22" s="14" t="s">
        <v>551</v>
      </c>
      <c r="D22" s="14" t="s">
        <v>552</v>
      </c>
      <c r="E22" s="14" t="s">
        <v>553</v>
      </c>
      <c r="F22" s="14" t="s">
        <v>554</v>
      </c>
    </row>
    <row r="23" customFormat="false" ht="28.5" hidden="false" customHeight="true" outlineLevel="0" collapsed="false">
      <c r="A23" s="13" t="s">
        <v>540</v>
      </c>
      <c r="B23" s="14" t="s">
        <v>555</v>
      </c>
      <c r="C23" s="14" t="s">
        <v>556</v>
      </c>
      <c r="D23" s="14" t="s">
        <v>557</v>
      </c>
      <c r="E23" s="14" t="s">
        <v>558</v>
      </c>
      <c r="F23" s="14" t="s">
        <v>559</v>
      </c>
    </row>
    <row r="24" customFormat="false" ht="15.75" hidden="false" customHeight="true" outlineLevel="0" collapsed="false">
      <c r="A24" s="13" t="s">
        <v>540</v>
      </c>
      <c r="B24" s="14" t="s">
        <v>560</v>
      </c>
      <c r="C24" s="14" t="s">
        <v>561</v>
      </c>
      <c r="D24" s="14" t="s">
        <v>562</v>
      </c>
      <c r="E24" s="14" t="s">
        <v>563</v>
      </c>
      <c r="F24" s="14" t="s">
        <v>564</v>
      </c>
    </row>
    <row r="25" customFormat="false" ht="15.75" hidden="false" customHeight="true" outlineLevel="0" collapsed="false">
      <c r="A25" s="13" t="s">
        <v>540</v>
      </c>
      <c r="B25" s="14" t="s">
        <v>565</v>
      </c>
      <c r="C25" s="14" t="s">
        <v>566</v>
      </c>
      <c r="D25" s="14" t="s">
        <v>567</v>
      </c>
      <c r="E25" s="14" t="s">
        <v>568</v>
      </c>
      <c r="F25" s="14" t="s">
        <v>569</v>
      </c>
    </row>
    <row r="26" customFormat="false" ht="15.75" hidden="false" customHeight="true" outlineLevel="0" collapsed="false">
      <c r="A26" s="13" t="s">
        <v>540</v>
      </c>
      <c r="B26" s="14" t="s">
        <v>570</v>
      </c>
      <c r="C26" s="14" t="s">
        <v>571</v>
      </c>
      <c r="D26" s="14" t="s">
        <v>572</v>
      </c>
      <c r="E26" s="14" t="s">
        <v>573</v>
      </c>
      <c r="F26" s="14" t="s">
        <v>335</v>
      </c>
    </row>
    <row r="27" customFormat="false" ht="28.5" hidden="false" customHeight="true" outlineLevel="0" collapsed="false">
      <c r="A27" s="13" t="s">
        <v>574</v>
      </c>
      <c r="B27" s="14" t="s">
        <v>575</v>
      </c>
      <c r="C27" s="14" t="s">
        <v>576</v>
      </c>
      <c r="D27" s="14" t="s">
        <v>577</v>
      </c>
      <c r="E27" s="14" t="s">
        <v>525</v>
      </c>
      <c r="F27" s="14" t="s">
        <v>578</v>
      </c>
    </row>
    <row r="28" customFormat="false" ht="15.75" hidden="false" customHeight="true" outlineLevel="0" collapsed="false">
      <c r="A28" s="13" t="s">
        <v>574</v>
      </c>
      <c r="B28" s="14" t="s">
        <v>579</v>
      </c>
      <c r="C28" s="14" t="s">
        <v>580</v>
      </c>
      <c r="D28" s="14" t="s">
        <v>581</v>
      </c>
      <c r="E28" s="14" t="s">
        <v>525</v>
      </c>
      <c r="F28" s="14" t="s">
        <v>582</v>
      </c>
    </row>
    <row r="29" customFormat="false" ht="28.5" hidden="false" customHeight="true" outlineLevel="0" collapsed="false">
      <c r="A29" s="13" t="s">
        <v>574</v>
      </c>
      <c r="B29" s="14" t="s">
        <v>583</v>
      </c>
      <c r="C29" s="14" t="s">
        <v>584</v>
      </c>
      <c r="D29" s="14" t="s">
        <v>585</v>
      </c>
      <c r="E29" s="14" t="s">
        <v>525</v>
      </c>
      <c r="F29" s="14" t="s">
        <v>586</v>
      </c>
    </row>
    <row r="30" customFormat="false" ht="28.5" hidden="false" customHeight="true" outlineLevel="0" collapsed="false">
      <c r="A30" s="13" t="s">
        <v>574</v>
      </c>
      <c r="B30" s="14" t="s">
        <v>28</v>
      </c>
      <c r="C30" s="14" t="s">
        <v>587</v>
      </c>
      <c r="D30" s="14" t="s">
        <v>588</v>
      </c>
      <c r="E30" s="14" t="s">
        <v>589</v>
      </c>
      <c r="F30" s="14" t="s">
        <v>590</v>
      </c>
    </row>
    <row r="31" customFormat="false" ht="28.5" hidden="false" customHeight="true" outlineLevel="0" collapsed="false">
      <c r="A31" s="13" t="s">
        <v>591</v>
      </c>
      <c r="B31" s="14" t="s">
        <v>592</v>
      </c>
      <c r="C31" s="14" t="s">
        <v>593</v>
      </c>
      <c r="D31" s="14" t="s">
        <v>594</v>
      </c>
      <c r="E31" s="14" t="s">
        <v>595</v>
      </c>
      <c r="F31" s="14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38"/>
    <col collapsed="false" customWidth="true" hidden="false" outlineLevel="0" max="5" min="5" style="1" width="26"/>
    <col collapsed="false" customWidth="true" hidden="false" outlineLevel="0" max="6" min="6" style="1" width="36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53" t="s">
        <v>597</v>
      </c>
    </row>
    <row r="2" customFormat="false" ht="15" hidden="false" customHeight="true" outlineLevel="0" collapsed="false">
      <c r="A2" s="54" t="s">
        <v>598</v>
      </c>
    </row>
    <row r="4" customFormat="false" ht="15" hidden="false" customHeight="true" outlineLevel="0" collapsed="false">
      <c r="A4" s="12" t="s">
        <v>74</v>
      </c>
      <c r="B4" s="12" t="s">
        <v>75</v>
      </c>
      <c r="C4" s="12" t="s">
        <v>599</v>
      </c>
      <c r="D4" s="12" t="s">
        <v>600</v>
      </c>
      <c r="E4" s="12" t="s">
        <v>601</v>
      </c>
      <c r="F4" s="12" t="s">
        <v>602</v>
      </c>
      <c r="G4" s="12" t="s">
        <v>603</v>
      </c>
      <c r="H4" s="12" t="s">
        <v>86</v>
      </c>
      <c r="I4" s="12" t="s">
        <v>89</v>
      </c>
    </row>
    <row r="5" customFormat="false" ht="15" hidden="false" customHeight="true" outlineLevel="0" collapsed="false">
      <c r="A5" s="13" t="s">
        <v>604</v>
      </c>
      <c r="B5" s="14" t="s">
        <v>605</v>
      </c>
      <c r="C5" s="14" t="s">
        <v>606</v>
      </c>
      <c r="D5" s="14" t="s">
        <v>607</v>
      </c>
      <c r="E5" s="14" t="s">
        <v>608</v>
      </c>
      <c r="F5" s="14" t="s">
        <v>609</v>
      </c>
      <c r="G5" s="55"/>
      <c r="H5" s="18" t="s">
        <v>98</v>
      </c>
      <c r="I5" s="55"/>
    </row>
    <row r="6" customFormat="false" ht="15" hidden="false" customHeight="true" outlineLevel="0" collapsed="false">
      <c r="A6" s="13" t="s">
        <v>610</v>
      </c>
      <c r="B6" s="14" t="s">
        <v>605</v>
      </c>
      <c r="C6" s="14" t="s">
        <v>611</v>
      </c>
      <c r="D6" s="14" t="s">
        <v>612</v>
      </c>
      <c r="E6" s="14" t="s">
        <v>613</v>
      </c>
      <c r="F6" s="14" t="s">
        <v>614</v>
      </c>
      <c r="G6" s="55"/>
      <c r="H6" s="18" t="s">
        <v>98</v>
      </c>
      <c r="I6" s="55"/>
    </row>
    <row r="7" customFormat="false" ht="15" hidden="false" customHeight="true" outlineLevel="0" collapsed="false">
      <c r="A7" s="13" t="s">
        <v>615</v>
      </c>
      <c r="B7" s="14" t="s">
        <v>605</v>
      </c>
      <c r="C7" s="14" t="s">
        <v>616</v>
      </c>
      <c r="D7" s="14" t="s">
        <v>617</v>
      </c>
      <c r="E7" s="14" t="s">
        <v>618</v>
      </c>
      <c r="F7" s="14" t="s">
        <v>619</v>
      </c>
      <c r="G7" s="55"/>
      <c r="H7" s="18" t="s">
        <v>98</v>
      </c>
      <c r="I7" s="55"/>
    </row>
    <row r="8" customFormat="false" ht="15" hidden="false" customHeight="true" outlineLevel="0" collapsed="false">
      <c r="A8" s="13" t="s">
        <v>620</v>
      </c>
      <c r="B8" s="14" t="s">
        <v>605</v>
      </c>
      <c r="C8" s="14" t="s">
        <v>621</v>
      </c>
      <c r="D8" s="14" t="s">
        <v>622</v>
      </c>
      <c r="E8" s="14" t="s">
        <v>623</v>
      </c>
      <c r="F8" s="14" t="s">
        <v>624</v>
      </c>
      <c r="G8" s="55"/>
      <c r="H8" s="18" t="s">
        <v>98</v>
      </c>
      <c r="I8" s="55"/>
    </row>
    <row r="9" customFormat="false" ht="23.25" hidden="false" customHeight="true" outlineLevel="0" collapsed="false">
      <c r="A9" s="13" t="s">
        <v>625</v>
      </c>
      <c r="B9" s="14" t="s">
        <v>605</v>
      </c>
      <c r="C9" s="14" t="s">
        <v>626</v>
      </c>
      <c r="D9" s="14" t="s">
        <v>627</v>
      </c>
      <c r="E9" s="14" t="s">
        <v>628</v>
      </c>
      <c r="F9" s="14" t="s">
        <v>629</v>
      </c>
      <c r="G9" s="55"/>
      <c r="H9" s="18" t="s">
        <v>98</v>
      </c>
      <c r="I9" s="55"/>
    </row>
    <row r="10" customFormat="false" ht="15" hidden="false" customHeight="true" outlineLevel="0" collapsed="false">
      <c r="A10" s="13" t="s">
        <v>630</v>
      </c>
      <c r="B10" s="14" t="s">
        <v>631</v>
      </c>
      <c r="C10" s="14" t="s">
        <v>632</v>
      </c>
      <c r="D10" s="14" t="s">
        <v>633</v>
      </c>
      <c r="E10" s="14" t="s">
        <v>634</v>
      </c>
      <c r="F10" s="14" t="s">
        <v>635</v>
      </c>
      <c r="G10" s="55"/>
      <c r="H10" s="18" t="s">
        <v>98</v>
      </c>
      <c r="I10" s="55"/>
    </row>
    <row r="11" customFormat="false" ht="15" hidden="false" customHeight="true" outlineLevel="0" collapsed="false">
      <c r="A11" s="13" t="s">
        <v>636</v>
      </c>
      <c r="B11" s="14" t="s">
        <v>631</v>
      </c>
      <c r="C11" s="14" t="s">
        <v>637</v>
      </c>
      <c r="D11" s="14" t="s">
        <v>638</v>
      </c>
      <c r="E11" s="14" t="s">
        <v>639</v>
      </c>
      <c r="F11" s="14" t="s">
        <v>640</v>
      </c>
      <c r="G11" s="55"/>
      <c r="H11" s="18" t="s">
        <v>98</v>
      </c>
      <c r="I11" s="55"/>
    </row>
    <row r="12" customFormat="false" ht="15" hidden="false" customHeight="true" outlineLevel="0" collapsed="false">
      <c r="A12" s="13" t="s">
        <v>641</v>
      </c>
      <c r="B12" s="14" t="s">
        <v>631</v>
      </c>
      <c r="C12" s="14" t="s">
        <v>642</v>
      </c>
      <c r="D12" s="14" t="s">
        <v>643</v>
      </c>
      <c r="E12" s="14" t="s">
        <v>644</v>
      </c>
      <c r="F12" s="14" t="s">
        <v>645</v>
      </c>
      <c r="G12" s="55"/>
      <c r="H12" s="18" t="s">
        <v>98</v>
      </c>
      <c r="I12" s="55"/>
    </row>
    <row r="13" customFormat="false" ht="15" hidden="false" customHeight="true" outlineLevel="0" collapsed="false">
      <c r="A13" s="13" t="s">
        <v>646</v>
      </c>
      <c r="B13" s="14" t="s">
        <v>631</v>
      </c>
      <c r="C13" s="14" t="s">
        <v>647</v>
      </c>
      <c r="D13" s="14" t="s">
        <v>648</v>
      </c>
      <c r="E13" s="14" t="s">
        <v>649</v>
      </c>
      <c r="F13" s="14" t="s">
        <v>650</v>
      </c>
      <c r="G13" s="55"/>
      <c r="H13" s="18" t="s">
        <v>98</v>
      </c>
      <c r="I13" s="55"/>
    </row>
    <row r="14" customFormat="false" ht="23.25" hidden="false" customHeight="true" outlineLevel="0" collapsed="false">
      <c r="A14" s="13" t="s">
        <v>651</v>
      </c>
      <c r="B14" s="14" t="s">
        <v>652</v>
      </c>
      <c r="C14" s="14" t="s">
        <v>653</v>
      </c>
      <c r="D14" s="14" t="s">
        <v>654</v>
      </c>
      <c r="E14" s="14" t="s">
        <v>655</v>
      </c>
      <c r="F14" s="14" t="s">
        <v>656</v>
      </c>
      <c r="G14" s="55"/>
      <c r="H14" s="18" t="s">
        <v>98</v>
      </c>
      <c r="I14" s="55"/>
    </row>
    <row r="15" customFormat="false" ht="23.25" hidden="false" customHeight="true" outlineLevel="0" collapsed="false">
      <c r="A15" s="13" t="s">
        <v>657</v>
      </c>
      <c r="B15" s="14" t="s">
        <v>652</v>
      </c>
      <c r="C15" s="14" t="s">
        <v>658</v>
      </c>
      <c r="D15" s="14" t="s">
        <v>659</v>
      </c>
      <c r="E15" s="14" t="s">
        <v>660</v>
      </c>
      <c r="F15" s="14" t="s">
        <v>661</v>
      </c>
      <c r="G15" s="55"/>
      <c r="H15" s="18" t="s">
        <v>98</v>
      </c>
      <c r="I15" s="55"/>
    </row>
    <row r="16" customFormat="false" ht="23.25" hidden="false" customHeight="true" outlineLevel="0" collapsed="false">
      <c r="A16" s="13" t="s">
        <v>662</v>
      </c>
      <c r="B16" s="14" t="s">
        <v>652</v>
      </c>
      <c r="C16" s="14" t="s">
        <v>663</v>
      </c>
      <c r="D16" s="14" t="s">
        <v>664</v>
      </c>
      <c r="E16" s="14" t="s">
        <v>665</v>
      </c>
      <c r="F16" s="14" t="s">
        <v>666</v>
      </c>
      <c r="G16" s="55"/>
      <c r="H16" s="18" t="s">
        <v>98</v>
      </c>
      <c r="I16" s="55"/>
    </row>
    <row r="17" customFormat="false" ht="23.25" hidden="false" customHeight="true" outlineLevel="0" collapsed="false">
      <c r="A17" s="13" t="s">
        <v>667</v>
      </c>
      <c r="B17" s="14" t="s">
        <v>668</v>
      </c>
      <c r="C17" s="14" t="s">
        <v>669</v>
      </c>
      <c r="D17" s="14" t="s">
        <v>670</v>
      </c>
      <c r="E17" s="14" t="s">
        <v>671</v>
      </c>
      <c r="F17" s="14" t="s">
        <v>672</v>
      </c>
      <c r="G17" s="55"/>
      <c r="H17" s="18" t="s">
        <v>98</v>
      </c>
      <c r="I17" s="55"/>
    </row>
    <row r="18" customFormat="false" ht="15" hidden="false" customHeight="true" outlineLevel="0" collapsed="false">
      <c r="A18" s="13" t="s">
        <v>673</v>
      </c>
      <c r="B18" s="14" t="s">
        <v>668</v>
      </c>
      <c r="C18" s="14" t="s">
        <v>674</v>
      </c>
      <c r="D18" s="14" t="s">
        <v>675</v>
      </c>
      <c r="E18" s="14" t="s">
        <v>676</v>
      </c>
      <c r="F18" s="14" t="s">
        <v>677</v>
      </c>
      <c r="G18" s="55"/>
      <c r="H18" s="18" t="s">
        <v>98</v>
      </c>
      <c r="I18" s="55"/>
    </row>
    <row r="19" customFormat="false" ht="15" hidden="false" customHeight="true" outlineLevel="0" collapsed="false">
      <c r="A19" s="13" t="s">
        <v>678</v>
      </c>
      <c r="B19" s="14" t="s">
        <v>679</v>
      </c>
      <c r="C19" s="14" t="s">
        <v>680</v>
      </c>
      <c r="D19" s="14" t="s">
        <v>681</v>
      </c>
      <c r="E19" s="14" t="s">
        <v>682</v>
      </c>
      <c r="F19" s="14" t="s">
        <v>683</v>
      </c>
      <c r="G19" s="55"/>
      <c r="H19" s="18" t="s">
        <v>98</v>
      </c>
      <c r="I19" s="55"/>
    </row>
    <row r="20" customFormat="false" ht="15" hidden="false" customHeight="true" outlineLevel="0" collapsed="false">
      <c r="A20" s="13" t="s">
        <v>684</v>
      </c>
      <c r="B20" s="14" t="s">
        <v>679</v>
      </c>
      <c r="C20" s="14" t="s">
        <v>685</v>
      </c>
      <c r="D20" s="14" t="s">
        <v>686</v>
      </c>
      <c r="E20" s="14" t="s">
        <v>687</v>
      </c>
      <c r="F20" s="14" t="s">
        <v>688</v>
      </c>
      <c r="G20" s="55"/>
      <c r="H20" s="18" t="s">
        <v>98</v>
      </c>
      <c r="I20" s="55"/>
    </row>
    <row r="21" customFormat="false" ht="15" hidden="false" customHeight="true" outlineLevel="0" collapsed="false">
      <c r="A21" s="13" t="s">
        <v>689</v>
      </c>
      <c r="B21" s="14" t="s">
        <v>679</v>
      </c>
      <c r="C21" s="14" t="s">
        <v>690</v>
      </c>
      <c r="D21" s="14" t="s">
        <v>691</v>
      </c>
      <c r="E21" s="14" t="s">
        <v>692</v>
      </c>
      <c r="F21" s="14" t="s">
        <v>693</v>
      </c>
      <c r="G21" s="55"/>
      <c r="H21" s="18" t="s">
        <v>98</v>
      </c>
      <c r="I21" s="55"/>
    </row>
    <row r="22" customFormat="false" ht="23.25" hidden="false" customHeight="true" outlineLevel="0" collapsed="false">
      <c r="A22" s="13" t="s">
        <v>694</v>
      </c>
      <c r="B22" s="14" t="s">
        <v>679</v>
      </c>
      <c r="C22" s="14" t="s">
        <v>695</v>
      </c>
      <c r="D22" s="14" t="s">
        <v>696</v>
      </c>
      <c r="E22" s="14" t="s">
        <v>697</v>
      </c>
      <c r="F22" s="14" t="s">
        <v>698</v>
      </c>
      <c r="G22" s="55"/>
      <c r="H22" s="18" t="s">
        <v>98</v>
      </c>
      <c r="I22" s="55"/>
    </row>
    <row r="24" customFormat="false" ht="15" hidden="false" customHeight="true" outlineLevel="0" collapsed="false">
      <c r="B24" s="56" t="s">
        <v>699</v>
      </c>
    </row>
    <row r="25" customFormat="false" ht="15" hidden="false" customHeight="true" outlineLevel="0" collapsed="false">
      <c r="B25" s="59" t="s">
        <v>251</v>
      </c>
      <c r="C25" s="59" t="n">
        <f aca="false">COUNTIF($H$5:$H$22,B25)</f>
        <v>0</v>
      </c>
    </row>
    <row r="26" customFormat="false" ht="15" hidden="false" customHeight="true" outlineLevel="0" collapsed="false">
      <c r="B26" s="59" t="s">
        <v>253</v>
      </c>
      <c r="C26" s="59" t="n">
        <f aca="false">COUNTIF($H$5:$H$22,B26)</f>
        <v>0</v>
      </c>
    </row>
    <row r="27" customFormat="false" ht="15" hidden="false" customHeight="true" outlineLevel="0" collapsed="false">
      <c r="B27" s="59" t="s">
        <v>252</v>
      </c>
      <c r="C27" s="59" t="n">
        <f aca="false">COUNTIF($H$5:$H$22,B27)</f>
        <v>0</v>
      </c>
    </row>
    <row r="28" customFormat="false" ht="15" hidden="false" customHeight="true" outlineLevel="0" collapsed="false">
      <c r="B28" s="59" t="s">
        <v>98</v>
      </c>
      <c r="C28" s="59" t="n">
        <f aca="false">COUNTIF($H$5:$H$22,B28)</f>
        <v>18</v>
      </c>
    </row>
    <row r="29" customFormat="false" ht="15" hidden="false" customHeight="true" outlineLevel="0" collapsed="false">
      <c r="B29" s="59" t="s">
        <v>254</v>
      </c>
      <c r="C29" s="59" t="n">
        <f aca="false">COUNTIF($H$5:$H$22,B29)</f>
        <v>0</v>
      </c>
    </row>
    <row r="30" customFormat="false" ht="15" hidden="false" customHeight="true" outlineLevel="0" collapsed="false">
      <c r="B30" s="56" t="s">
        <v>700</v>
      </c>
      <c r="C30" s="57" t="n">
        <f aca="false">IFERROR((C25+C26)/(COUNTA(H5:H22)-C29),0)</f>
        <v>0</v>
      </c>
    </row>
  </sheetData>
  <conditionalFormatting sqref="H5:H22">
    <cfRule type="cellIs" priority="2" operator="equal" aboveAverage="0" equalAverage="0" bottom="0" percent="0" rank="0" text="" dxfId="3">
      <formula>"Đạt"</formula>
    </cfRule>
    <cfRule type="cellIs" priority="3" operator="equal" aboveAverage="0" equalAverage="0" bottom="0" percent="0" rank="0" text="" dxfId="4">
      <formula>"Không đạt"</formula>
    </cfRule>
    <cfRule type="cellIs" priority="4" operator="equal" aboveAverage="0" equalAverage="0" bottom="0" percent="0" rank="0" text="" dxfId="5">
      <formula>"Đang làm"</formula>
    </cfRule>
  </conditionalFormatting>
  <dataValidations count="1">
    <dataValidation allowBlank="true" errorStyle="stop" operator="between" showDropDown="false" showErrorMessage="false" showInputMessage="false" sqref="H5:H22" type="list">
      <formula1>"Chưa làm,Đang làm,Đạt,Không đạt,Không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5" min="3" style="1" width="11"/>
    <col collapsed="false" customWidth="true" hidden="false" outlineLevel="0" max="6" min="6" style="1" width="16"/>
    <col collapsed="false" customWidth="true" hidden="false" outlineLevel="0" max="8" min="7" style="1" width="9"/>
    <col collapsed="false" customWidth="true" hidden="false" outlineLevel="0" max="10" min="9" style="1" width="10"/>
    <col collapsed="false" customWidth="true" hidden="false" outlineLevel="0" max="11" min="11" style="1" width="9"/>
    <col collapsed="false" customWidth="true" hidden="false" outlineLevel="0" max="12" min="12" style="1" width="12"/>
    <col collapsed="false" customWidth="true" hidden="false" outlineLevel="0" max="13" min="13" style="1" width="30"/>
  </cols>
  <sheetData>
    <row r="1" customFormat="false" ht="17.25" hidden="false" customHeight="true" outlineLevel="0" collapsed="false">
      <c r="A1" s="53" t="s">
        <v>454</v>
      </c>
    </row>
    <row r="2" customFormat="false" ht="15" hidden="false" customHeight="true" outlineLevel="0" collapsed="false">
      <c r="A2" s="54" t="s">
        <v>701</v>
      </c>
    </row>
    <row r="4" customFormat="false" ht="26.25" hidden="false" customHeight="true" outlineLevel="0" collapsed="false">
      <c r="A4" s="12" t="s">
        <v>702</v>
      </c>
      <c r="B4" s="12" t="s">
        <v>703</v>
      </c>
      <c r="C4" s="12" t="s">
        <v>389</v>
      </c>
      <c r="D4" s="12" t="s">
        <v>391</v>
      </c>
      <c r="E4" s="12" t="s">
        <v>394</v>
      </c>
      <c r="F4" s="12" t="s">
        <v>704</v>
      </c>
      <c r="G4" s="12" t="s">
        <v>705</v>
      </c>
      <c r="H4" s="12" t="s">
        <v>706</v>
      </c>
      <c r="I4" s="12" t="s">
        <v>707</v>
      </c>
      <c r="J4" s="12" t="s">
        <v>708</v>
      </c>
      <c r="K4" s="12" t="s">
        <v>518</v>
      </c>
      <c r="L4" s="12" t="s">
        <v>709</v>
      </c>
      <c r="M4" s="12" t="s">
        <v>89</v>
      </c>
    </row>
    <row r="5" customFormat="false" ht="15" hidden="false" customHeight="true" outlineLevel="0" collapsed="false">
      <c r="A5" s="14" t="s">
        <v>710</v>
      </c>
      <c r="B5" s="13" t="s">
        <v>96</v>
      </c>
      <c r="C5" s="18" t="n">
        <v>0</v>
      </c>
      <c r="D5" s="18" t="n">
        <v>0</v>
      </c>
      <c r="E5" s="18" t="n">
        <v>0</v>
      </c>
      <c r="F5" s="13" t="s">
        <v>711</v>
      </c>
      <c r="G5" s="29" t="n">
        <v>0.06</v>
      </c>
      <c r="H5" s="29" t="n">
        <v>0.03</v>
      </c>
      <c r="I5" s="29" t="n">
        <v>0.94</v>
      </c>
      <c r="J5" s="29" t="n">
        <v>0.965</v>
      </c>
      <c r="K5" s="27" t="n">
        <f aca="false">0.75*G5+0.25*H5</f>
        <v>0.0525</v>
      </c>
      <c r="L5" s="25" t="n">
        <f aca="false">K5-$K$5</f>
        <v>0</v>
      </c>
      <c r="M5" s="55"/>
    </row>
    <row r="6" customFormat="false" ht="15" hidden="false" customHeight="true" outlineLevel="0" collapsed="false">
      <c r="A6" s="14" t="s">
        <v>712</v>
      </c>
      <c r="B6" s="13" t="s">
        <v>713</v>
      </c>
      <c r="C6" s="18" t="n">
        <v>0</v>
      </c>
      <c r="D6" s="18" t="n">
        <v>0</v>
      </c>
      <c r="E6" s="18" t="n">
        <v>0</v>
      </c>
      <c r="F6" s="13" t="s">
        <v>713</v>
      </c>
      <c r="G6" s="29" t="n">
        <v>0.055</v>
      </c>
      <c r="H6" s="29" t="n">
        <v>0.03</v>
      </c>
      <c r="I6" s="29" t="n">
        <v>0.945</v>
      </c>
      <c r="J6" s="29" t="n">
        <v>0.968</v>
      </c>
      <c r="K6" s="27" t="n">
        <f aca="false">0.75*G6+0.25*H6</f>
        <v>0.04875</v>
      </c>
      <c r="L6" s="25" t="n">
        <f aca="false">K6-$K$5</f>
        <v>-0.00375</v>
      </c>
      <c r="M6" s="55"/>
    </row>
    <row r="7" customFormat="false" ht="15" hidden="false" customHeight="true" outlineLevel="0" collapsed="false">
      <c r="A7" s="14" t="s">
        <v>714</v>
      </c>
      <c r="B7" s="13" t="s">
        <v>713</v>
      </c>
      <c r="C7" s="18" t="n">
        <v>100</v>
      </c>
      <c r="D7" s="18" t="n">
        <v>120</v>
      </c>
      <c r="E7" s="18" t="n">
        <v>0</v>
      </c>
      <c r="F7" s="13" t="s">
        <v>713</v>
      </c>
      <c r="G7" s="29" t="n">
        <v>0.045</v>
      </c>
      <c r="H7" s="29" t="n">
        <v>0.045</v>
      </c>
      <c r="I7" s="29" t="n">
        <v>0.944</v>
      </c>
      <c r="J7" s="29" t="n">
        <v>0.97</v>
      </c>
      <c r="K7" s="27" t="n">
        <f aca="false">0.75*G7+0.25*H7</f>
        <v>0.045</v>
      </c>
      <c r="L7" s="25" t="n">
        <f aca="false">K7-$K$5</f>
        <v>-0.0075</v>
      </c>
      <c r="M7" s="55"/>
    </row>
    <row r="8" customFormat="false" ht="15" hidden="false" customHeight="true" outlineLevel="0" collapsed="false">
      <c r="A8" s="14" t="s">
        <v>715</v>
      </c>
      <c r="B8" s="13" t="s">
        <v>713</v>
      </c>
      <c r="C8" s="18" t="n">
        <v>0</v>
      </c>
      <c r="D8" s="18" t="n">
        <v>0</v>
      </c>
      <c r="E8" s="18" t="n">
        <v>500</v>
      </c>
      <c r="F8" s="13" t="s">
        <v>713</v>
      </c>
      <c r="G8" s="29" t="n">
        <v>0.04</v>
      </c>
      <c r="H8" s="29" t="n">
        <v>0.06</v>
      </c>
      <c r="I8" s="29" t="n">
        <v>0.939</v>
      </c>
      <c r="J8" s="29" t="n">
        <v>0.972</v>
      </c>
      <c r="K8" s="27" t="n">
        <f aca="false">0.75*G8+0.25*H8</f>
        <v>0.045</v>
      </c>
      <c r="L8" s="25" t="n">
        <f aca="false">K8-$K$5</f>
        <v>-0.0075</v>
      </c>
      <c r="M8" s="55"/>
    </row>
    <row r="9" customFormat="false" ht="15" hidden="false" customHeight="true" outlineLevel="0" collapsed="false">
      <c r="A9" s="14" t="s">
        <v>716</v>
      </c>
      <c r="B9" s="13" t="s">
        <v>713</v>
      </c>
      <c r="C9" s="18" t="n">
        <v>100</v>
      </c>
      <c r="D9" s="18" t="n">
        <v>120</v>
      </c>
      <c r="E9" s="18" t="n">
        <v>500</v>
      </c>
      <c r="F9" s="13" t="s">
        <v>713</v>
      </c>
      <c r="G9" s="29" t="n">
        <v>0.03</v>
      </c>
      <c r="H9" s="29" t="n">
        <v>0.075</v>
      </c>
      <c r="I9" s="29" t="n">
        <v>0.936</v>
      </c>
      <c r="J9" s="29" t="n">
        <v>0.973</v>
      </c>
      <c r="K9" s="27" t="n">
        <f aca="false">0.75*G9+0.25*H9</f>
        <v>0.04125</v>
      </c>
      <c r="L9" s="25" t="n">
        <f aca="false">K9-$K$5</f>
        <v>-0.01125</v>
      </c>
      <c r="M9" s="55"/>
    </row>
    <row r="11" customFormat="false" ht="15" hidden="false" customHeight="true" outlineLevel="0" collapsed="false">
      <c r="A11" s="58" t="s">
        <v>717</v>
      </c>
    </row>
    <row r="12" customFormat="false" ht="15" hidden="false" customHeight="true" outlineLevel="0" collapsed="false">
      <c r="A12" s="58" t="s">
        <v>718</v>
      </c>
    </row>
    <row r="14" customFormat="false" ht="15.75" hidden="false" customHeight="true" outlineLevel="0" collapsed="false">
      <c r="A14" s="60" t="s">
        <v>719</v>
      </c>
    </row>
    <row r="15" customFormat="false" ht="28.5" hidden="false" customHeight="true" outlineLevel="0" collapsed="false">
      <c r="A15" s="12" t="s">
        <v>74</v>
      </c>
      <c r="B15" s="12" t="s">
        <v>720</v>
      </c>
      <c r="C15" s="12"/>
      <c r="D15" s="12"/>
      <c r="E15" s="12"/>
      <c r="F15" s="12" t="s">
        <v>301</v>
      </c>
      <c r="G15" s="12" t="s">
        <v>705</v>
      </c>
      <c r="H15" s="12" t="s">
        <v>706</v>
      </c>
      <c r="I15" s="12" t="s">
        <v>707</v>
      </c>
      <c r="J15" s="12" t="s">
        <v>708</v>
      </c>
      <c r="K15" s="12" t="s">
        <v>518</v>
      </c>
      <c r="L15" s="12" t="s">
        <v>721</v>
      </c>
      <c r="M15" s="12" t="s">
        <v>89</v>
      </c>
    </row>
    <row r="16" customFormat="false" ht="15.75" hidden="false" customHeight="true" outlineLevel="0" collapsed="false">
      <c r="A16" s="13" t="s">
        <v>722</v>
      </c>
      <c r="B16" s="14" t="s">
        <v>723</v>
      </c>
      <c r="C16" s="14"/>
      <c r="D16" s="14"/>
      <c r="E16" s="14"/>
      <c r="F16" s="38" t="n">
        <v>0.9</v>
      </c>
      <c r="G16" s="29" t="n">
        <v>0.03</v>
      </c>
      <c r="H16" s="29" t="n">
        <v>0.075</v>
      </c>
      <c r="I16" s="29" t="n">
        <v>0.936</v>
      </c>
      <c r="J16" s="29" t="n">
        <v>0.973</v>
      </c>
      <c r="K16" s="27" t="n">
        <f aca="false">IF(OR(G16="",H16=""),"",0.75*G16+0.25*H16)</f>
        <v>0.04125</v>
      </c>
      <c r="L16" s="25" t="n">
        <f aca="false">IF(OR(K16="",$K$16=""),"",K16-$K$16)</f>
        <v>0</v>
      </c>
      <c r="M16" s="18"/>
    </row>
    <row r="17" customFormat="false" ht="15.75" hidden="false" customHeight="true" outlineLevel="0" collapsed="false">
      <c r="A17" s="13" t="s">
        <v>724</v>
      </c>
      <c r="B17" s="14" t="s">
        <v>725</v>
      </c>
      <c r="C17" s="14"/>
      <c r="D17" s="14"/>
      <c r="E17" s="14"/>
      <c r="F17" s="37"/>
      <c r="G17" s="28"/>
      <c r="H17" s="28"/>
      <c r="I17" s="28"/>
      <c r="J17" s="28"/>
      <c r="K17" s="27" t="str">
        <f aca="false">IF(OR(G17="",H17=""),"",0.75*G17+0.25*H17)</f>
        <v/>
      </c>
      <c r="L17" s="25" t="str">
        <f aca="false">IF(OR(K17="",$K$16=""),"",K17-$K$16)</f>
        <v/>
      </c>
      <c r="M17" s="18"/>
    </row>
    <row r="18" customFormat="false" ht="15.75" hidden="false" customHeight="true" outlineLevel="0" collapsed="false">
      <c r="A18" s="13" t="s">
        <v>726</v>
      </c>
      <c r="B18" s="14" t="s">
        <v>727</v>
      </c>
      <c r="C18" s="14"/>
      <c r="D18" s="14"/>
      <c r="E18" s="14"/>
      <c r="F18" s="37"/>
      <c r="G18" s="28"/>
      <c r="H18" s="28"/>
      <c r="I18" s="28"/>
      <c r="J18" s="28"/>
      <c r="K18" s="27" t="str">
        <f aca="false">IF(OR(G18="",H18=""),"",0.75*G18+0.25*H18)</f>
        <v/>
      </c>
      <c r="L18" s="25" t="str">
        <f aca="false">IF(OR(K18="",$K$16=""),"",K18-$K$16)</f>
        <v/>
      </c>
      <c r="M18" s="18"/>
    </row>
    <row r="19" customFormat="false" ht="15.75" hidden="false" customHeight="true" outlineLevel="0" collapsed="false">
      <c r="A19" s="13" t="s">
        <v>728</v>
      </c>
      <c r="B19" s="14" t="s">
        <v>729</v>
      </c>
      <c r="C19" s="14"/>
      <c r="D19" s="14"/>
      <c r="E19" s="14"/>
      <c r="F19" s="37"/>
      <c r="G19" s="28"/>
      <c r="H19" s="28"/>
      <c r="I19" s="28"/>
      <c r="J19" s="28"/>
      <c r="K19" s="27" t="str">
        <f aca="false">IF(OR(G19="",H19=""),"",0.75*G19+0.25*H19)</f>
        <v/>
      </c>
      <c r="L19" s="25" t="str">
        <f aca="false">IF(OR(K19="",$K$16=""),"",K19-$K$16)</f>
        <v/>
      </c>
      <c r="M19" s="18"/>
    </row>
    <row r="20" customFormat="false" ht="28.5" hidden="false" customHeight="true" outlineLevel="0" collapsed="false">
      <c r="A20" s="13" t="s">
        <v>730</v>
      </c>
      <c r="B20" s="14" t="s">
        <v>731</v>
      </c>
      <c r="C20" s="14"/>
      <c r="D20" s="14"/>
      <c r="E20" s="14"/>
      <c r="F20" s="37"/>
      <c r="G20" s="28"/>
      <c r="H20" s="28"/>
      <c r="I20" s="28"/>
      <c r="J20" s="28"/>
      <c r="K20" s="27" t="str">
        <f aca="false">IF(OR(G20="",H20=""),"",0.75*G20+0.25*H20)</f>
        <v/>
      </c>
      <c r="L20" s="25" t="str">
        <f aca="false">IF(OR(K20="",$K$16=""),"",K20-$K$16)</f>
        <v/>
      </c>
      <c r="M20" s="18"/>
    </row>
    <row r="21" customFormat="false" ht="15.75" hidden="false" customHeight="true" outlineLevel="0" collapsed="false"/>
    <row r="22" customFormat="false" ht="15.75" hidden="false" customHeight="true" outlineLevel="0" collapsed="false">
      <c r="A22" s="60" t="s">
        <v>732</v>
      </c>
    </row>
    <row r="23" customFormat="false" ht="28.5" hidden="false" customHeight="true" outlineLevel="0" collapsed="false">
      <c r="A23" s="12" t="s">
        <v>74</v>
      </c>
      <c r="B23" s="12" t="s">
        <v>389</v>
      </c>
      <c r="C23" s="12" t="s">
        <v>391</v>
      </c>
      <c r="D23" s="12" t="s">
        <v>394</v>
      </c>
      <c r="E23" s="12" t="s">
        <v>733</v>
      </c>
      <c r="F23" s="12" t="s">
        <v>734</v>
      </c>
      <c r="G23" s="12" t="s">
        <v>705</v>
      </c>
      <c r="H23" s="12" t="s">
        <v>706</v>
      </c>
      <c r="I23" s="12" t="s">
        <v>707</v>
      </c>
      <c r="J23" s="12" t="s">
        <v>708</v>
      </c>
      <c r="K23" s="12" t="s">
        <v>518</v>
      </c>
      <c r="L23" s="12" t="s">
        <v>721</v>
      </c>
      <c r="M23" s="12" t="s">
        <v>89</v>
      </c>
    </row>
    <row r="24" customFormat="false" ht="15.75" hidden="false" customHeight="true" outlineLevel="0" collapsed="false">
      <c r="A24" s="13" t="s">
        <v>735</v>
      </c>
      <c r="B24" s="34" t="n">
        <v>100</v>
      </c>
      <c r="C24" s="34" t="n">
        <v>120</v>
      </c>
      <c r="D24" s="34" t="n">
        <v>500</v>
      </c>
      <c r="E24" s="34" t="n">
        <v>0</v>
      </c>
      <c r="F24" s="38" t="n">
        <v>1.05</v>
      </c>
      <c r="G24" s="29" t="n">
        <v>0.03</v>
      </c>
      <c r="H24" s="29" t="n">
        <v>0.075</v>
      </c>
      <c r="I24" s="29" t="n">
        <v>0.936</v>
      </c>
      <c r="J24" s="29" t="n">
        <v>0.973</v>
      </c>
      <c r="K24" s="27" t="n">
        <f aca="false">IF(OR(G24="",H24=""),"",0.75*G24+0.25*H24)</f>
        <v>0.04125</v>
      </c>
      <c r="L24" s="25" t="n">
        <f aca="false">IF(OR(K24="",$K$24=""),"",K24-$K$24)</f>
        <v>0</v>
      </c>
      <c r="M24" s="18"/>
    </row>
    <row r="25" customFormat="false" ht="15.75" hidden="false" customHeight="true" outlineLevel="0" collapsed="false">
      <c r="A25" s="13" t="s">
        <v>736</v>
      </c>
      <c r="B25" s="34" t="n">
        <v>100</v>
      </c>
      <c r="C25" s="34" t="n">
        <v>120</v>
      </c>
      <c r="D25" s="34" t="n">
        <v>500</v>
      </c>
      <c r="E25" s="34" t="n">
        <v>100</v>
      </c>
      <c r="F25" s="37"/>
      <c r="G25" s="28"/>
      <c r="H25" s="28"/>
      <c r="I25" s="28"/>
      <c r="J25" s="28"/>
      <c r="K25" s="27" t="str">
        <f aca="false">IF(OR(G25="",H25=""),"",0.75*G25+0.25*H25)</f>
        <v/>
      </c>
      <c r="L25" s="25" t="str">
        <f aca="false">IF(OR(K25="",$K$24=""),"",K25-$K$24)</f>
        <v/>
      </c>
      <c r="M25" s="18"/>
    </row>
    <row r="26" customFormat="false" ht="15.75" hidden="false" customHeight="true" outlineLevel="0" collapsed="false">
      <c r="A26" s="13" t="s">
        <v>737</v>
      </c>
      <c r="B26" s="34" t="n">
        <v>100</v>
      </c>
      <c r="C26" s="34" t="n">
        <v>120</v>
      </c>
      <c r="D26" s="34" t="n">
        <v>500</v>
      </c>
      <c r="E26" s="34" t="n">
        <v>250</v>
      </c>
      <c r="F26" s="37"/>
      <c r="G26" s="28"/>
      <c r="H26" s="28"/>
      <c r="I26" s="28"/>
      <c r="J26" s="28"/>
      <c r="K26" s="27" t="str">
        <f aca="false">IF(OR(G26="",H26=""),"",0.75*G26+0.25*H26)</f>
        <v/>
      </c>
      <c r="L26" s="25" t="str">
        <f aca="false">IF(OR(K26="",$K$24=""),"",K26-$K$24)</f>
        <v/>
      </c>
      <c r="M26" s="18"/>
    </row>
    <row r="27" customFormat="false" ht="15.75" hidden="false" customHeight="true" outlineLevel="0" collapsed="false">
      <c r="A27" s="13" t="s">
        <v>738</v>
      </c>
      <c r="B27" s="34" t="n">
        <v>100</v>
      </c>
      <c r="C27" s="34" t="n">
        <v>120</v>
      </c>
      <c r="D27" s="34" t="n">
        <v>500</v>
      </c>
      <c r="E27" s="34" t="n">
        <v>500</v>
      </c>
      <c r="F27" s="37"/>
      <c r="G27" s="28"/>
      <c r="H27" s="28"/>
      <c r="I27" s="28"/>
      <c r="J27" s="28"/>
      <c r="K27" s="27" t="str">
        <f aca="false">IF(OR(G27="",H27=""),"",0.75*G27+0.25*H27)</f>
        <v/>
      </c>
      <c r="L27" s="25" t="str">
        <f aca="false">IF(OR(K27="",$K$24=""),"",K27-$K$24)</f>
        <v/>
      </c>
      <c r="M27" s="18"/>
    </row>
    <row r="28" customFormat="false" ht="15.75" hidden="false" customHeight="true" outlineLevel="0" collapsed="false">
      <c r="A28" s="13" t="s">
        <v>739</v>
      </c>
      <c r="B28" s="34" t="n">
        <v>100</v>
      </c>
      <c r="C28" s="34" t="n">
        <v>120</v>
      </c>
      <c r="D28" s="34" t="n">
        <v>500</v>
      </c>
      <c r="E28" s="34" t="n">
        <v>750</v>
      </c>
      <c r="F28" s="37"/>
      <c r="G28" s="28"/>
      <c r="H28" s="28"/>
      <c r="I28" s="28"/>
      <c r="J28" s="28"/>
      <c r="K28" s="27" t="str">
        <f aca="false">IF(OR(G28="",H28=""),"",0.75*G28+0.25*H28)</f>
        <v/>
      </c>
      <c r="L28" s="25" t="str">
        <f aca="false">IF(OR(K28="",$K$24=""),"",K28-$K$24)</f>
        <v/>
      </c>
      <c r="M28" s="18"/>
    </row>
    <row r="29" customFormat="false" ht="15.75" hidden="false" customHeight="true" outlineLevel="0" collapsed="false"/>
    <row r="30" customFormat="false" ht="15.75" hidden="false" customHeight="true" outlineLevel="0" collapsed="false">
      <c r="A30" s="60" t="s">
        <v>740</v>
      </c>
    </row>
    <row r="31" customFormat="false" ht="28.5" hidden="false" customHeight="true" outlineLevel="0" collapsed="false">
      <c r="A31" s="12" t="s">
        <v>74</v>
      </c>
      <c r="B31" s="12" t="s">
        <v>741</v>
      </c>
      <c r="C31" s="12"/>
      <c r="D31" s="12"/>
      <c r="E31" s="12"/>
      <c r="F31" s="12" t="s">
        <v>734</v>
      </c>
      <c r="G31" s="12" t="s">
        <v>705</v>
      </c>
      <c r="H31" s="12" t="s">
        <v>706</v>
      </c>
      <c r="I31" s="12" t="s">
        <v>707</v>
      </c>
      <c r="J31" s="12" t="s">
        <v>708</v>
      </c>
      <c r="K31" s="12" t="s">
        <v>518</v>
      </c>
      <c r="L31" s="12" t="s">
        <v>721</v>
      </c>
      <c r="M31" s="12" t="s">
        <v>89</v>
      </c>
    </row>
    <row r="32" customFormat="false" ht="15.75" hidden="false" customHeight="true" outlineLevel="0" collapsed="false">
      <c r="A32" s="13" t="s">
        <v>742</v>
      </c>
      <c r="B32" s="14" t="s">
        <v>743</v>
      </c>
      <c r="C32" s="14"/>
      <c r="D32" s="14"/>
      <c r="E32" s="14"/>
      <c r="F32" s="38" t="n">
        <v>1.05</v>
      </c>
      <c r="G32" s="29" t="n">
        <v>0.03</v>
      </c>
      <c r="H32" s="29" t="n">
        <v>0.075</v>
      </c>
      <c r="I32" s="29" t="n">
        <v>0.936</v>
      </c>
      <c r="J32" s="29" t="n">
        <v>0.973</v>
      </c>
      <c r="K32" s="27" t="n">
        <f aca="false">IF(OR(G32="",H32=""),"",0.75*G32+0.25*H32)</f>
        <v>0.04125</v>
      </c>
      <c r="L32" s="25" t="n">
        <f aca="false">IF(OR(K32="",$K$32=""),"",K32-$K$32)</f>
        <v>0</v>
      </c>
      <c r="M32" s="18"/>
    </row>
    <row r="33" customFormat="false" ht="15.75" hidden="false" customHeight="true" outlineLevel="0" collapsed="false">
      <c r="A33" s="13" t="s">
        <v>744</v>
      </c>
      <c r="B33" s="14" t="s">
        <v>745</v>
      </c>
      <c r="C33" s="14"/>
      <c r="D33" s="14"/>
      <c r="E33" s="14"/>
      <c r="F33" s="37"/>
      <c r="G33" s="28"/>
      <c r="H33" s="28"/>
      <c r="I33" s="28"/>
      <c r="J33" s="28"/>
      <c r="K33" s="27" t="str">
        <f aca="false">IF(OR(G33="",H33=""),"",0.75*G33+0.25*H33)</f>
        <v/>
      </c>
      <c r="L33" s="25" t="str">
        <f aca="false">IF(OR(K33="",$K$32=""),"",K33-$K$32)</f>
        <v/>
      </c>
      <c r="M33" s="18"/>
    </row>
    <row r="34" customFormat="false" ht="15.75" hidden="false" customHeight="true" outlineLevel="0" collapsed="false">
      <c r="A34" s="13" t="s">
        <v>746</v>
      </c>
      <c r="B34" s="14" t="s">
        <v>747</v>
      </c>
      <c r="C34" s="14"/>
      <c r="D34" s="14"/>
      <c r="E34" s="14"/>
      <c r="F34" s="37"/>
      <c r="G34" s="28"/>
      <c r="H34" s="28"/>
      <c r="I34" s="28"/>
      <c r="J34" s="28"/>
      <c r="K34" s="27" t="str">
        <f aca="false">IF(OR(G34="",H34=""),"",0.75*G34+0.25*H34)</f>
        <v/>
      </c>
      <c r="L34" s="25" t="str">
        <f aca="false">IF(OR(K34="",$K$32=""),"",K34-$K$32)</f>
        <v/>
      </c>
      <c r="M34" s="18"/>
    </row>
    <row r="35" customFormat="false" ht="15.75" hidden="false" customHeight="true" outlineLevel="0" collapsed="false">
      <c r="A35" s="13" t="s">
        <v>748</v>
      </c>
      <c r="B35" s="14" t="s">
        <v>749</v>
      </c>
      <c r="C35" s="14"/>
      <c r="D35" s="14"/>
      <c r="E35" s="14"/>
      <c r="F35" s="37"/>
      <c r="G35" s="28"/>
      <c r="H35" s="28"/>
      <c r="I35" s="28"/>
      <c r="J35" s="28"/>
      <c r="K35" s="27" t="str">
        <f aca="false">IF(OR(G35="",H35=""),"",0.75*G35+0.25*H35)</f>
        <v/>
      </c>
      <c r="L35" s="25" t="str">
        <f aca="false">IF(OR(K35="",$K$32=""),"",K35-$K$32)</f>
        <v/>
      </c>
      <c r="M35" s="18"/>
    </row>
    <row r="36" customFormat="false" ht="15" hidden="false" customHeight="false" outlineLevel="0" collapsed="false">
      <c r="A36" s="52" t="s">
        <v>750</v>
      </c>
    </row>
  </sheetData>
  <mergeCells count="11">
    <mergeCell ref="B15:E15"/>
    <mergeCell ref="B16:E16"/>
    <mergeCell ref="B17:E17"/>
    <mergeCell ref="B18:E18"/>
    <mergeCell ref="B19:E19"/>
    <mergeCell ref="B20:E20"/>
    <mergeCell ref="B31:E31"/>
    <mergeCell ref="B32:E32"/>
    <mergeCell ref="B33:E33"/>
    <mergeCell ref="B34:E34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5" min="4" style="1" width="8"/>
    <col collapsed="false" customWidth="true" hidden="false" outlineLevel="0" max="9" min="6" style="1" width="7"/>
    <col collapsed="false" customWidth="true" hidden="false" outlineLevel="0" max="13" min="10" style="1" width="9"/>
    <col collapsed="false" customWidth="true" hidden="false" outlineLevel="0" max="14" min="14" style="1" width="8"/>
    <col collapsed="false" customWidth="true" hidden="false" outlineLevel="0" max="15" min="15" style="1" width="12"/>
    <col collapsed="false" customWidth="true" hidden="false" outlineLevel="0" max="16" min="16" style="1" width="10"/>
  </cols>
  <sheetData>
    <row r="1" customFormat="false" ht="17.25" hidden="false" customHeight="true" outlineLevel="0" collapsed="false">
      <c r="A1" s="53" t="s">
        <v>751</v>
      </c>
    </row>
    <row r="2" customFormat="false" ht="15" hidden="false" customHeight="true" outlineLevel="0" collapsed="false">
      <c r="A2" s="54" t="s">
        <v>752</v>
      </c>
    </row>
    <row r="4" customFormat="false" ht="39" hidden="false" customHeight="true" outlineLevel="0" collapsed="false">
      <c r="A4" s="12" t="s">
        <v>753</v>
      </c>
      <c r="B4" s="12" t="s">
        <v>754</v>
      </c>
      <c r="C4" s="12" t="s">
        <v>755</v>
      </c>
      <c r="D4" s="12" t="s">
        <v>705</v>
      </c>
      <c r="E4" s="12" t="s">
        <v>706</v>
      </c>
      <c r="F4" s="12" t="s">
        <v>756</v>
      </c>
      <c r="G4" s="12" t="s">
        <v>757</v>
      </c>
      <c r="H4" s="12" t="s">
        <v>758</v>
      </c>
      <c r="I4" s="12" t="s">
        <v>759</v>
      </c>
      <c r="J4" s="12" t="s">
        <v>707</v>
      </c>
      <c r="K4" s="12" t="s">
        <v>708</v>
      </c>
      <c r="L4" s="12" t="s">
        <v>760</v>
      </c>
      <c r="M4" s="12" t="s">
        <v>761</v>
      </c>
      <c r="N4" s="12" t="s">
        <v>518</v>
      </c>
      <c r="O4" s="12" t="s">
        <v>762</v>
      </c>
      <c r="P4" s="12" t="s">
        <v>763</v>
      </c>
    </row>
    <row r="5" customFormat="false" ht="15" hidden="false" customHeight="true" outlineLevel="0" collapsed="false">
      <c r="A5" s="61" t="s">
        <v>764</v>
      </c>
      <c r="B5" s="15" t="n">
        <v>40</v>
      </c>
      <c r="C5" s="29" t="n">
        <v>0.55</v>
      </c>
      <c r="D5" s="29" t="n">
        <v>0.04</v>
      </c>
      <c r="E5" s="29" t="n">
        <v>0.06</v>
      </c>
      <c r="F5" s="15" t="n">
        <v>12</v>
      </c>
      <c r="G5" s="15" t="n">
        <v>5</v>
      </c>
      <c r="H5" s="15" t="n">
        <v>18</v>
      </c>
      <c r="I5" s="15" t="n">
        <v>7</v>
      </c>
      <c r="J5" s="29" t="n">
        <v>0.935</v>
      </c>
      <c r="K5" s="29" t="n">
        <v>0.97</v>
      </c>
      <c r="L5" s="29" t="n">
        <v>0.918</v>
      </c>
      <c r="M5" s="29" t="n">
        <v>0.951</v>
      </c>
      <c r="N5" s="27" t="n">
        <f aca="false">IF(D5="","",0.75*D5+0.25*E5)</f>
        <v>0.045</v>
      </c>
      <c r="O5" s="27" t="n">
        <f aca="false">IF(J5="","",K5-J5)</f>
        <v>0.0349999999999999</v>
      </c>
      <c r="P5" s="20" t="n">
        <f aca="false">IF(SUM(F5:I5)=0,"",(G5+I5)/SUM(F5:I5))</f>
        <v>0.285714285714286</v>
      </c>
    </row>
    <row r="6" customFormat="false" ht="15" hidden="false" customHeight="true" outlineLevel="0" collapsed="false">
      <c r="A6" s="55"/>
      <c r="B6" s="18"/>
      <c r="C6" s="28"/>
      <c r="D6" s="28"/>
      <c r="E6" s="28"/>
      <c r="F6" s="18"/>
      <c r="G6" s="18"/>
      <c r="H6" s="18"/>
      <c r="I6" s="18"/>
      <c r="J6" s="28"/>
      <c r="K6" s="28"/>
      <c r="L6" s="28"/>
      <c r="M6" s="28"/>
      <c r="N6" s="27" t="str">
        <f aca="false">IF(D6="","",0.75*D6+0.25*E6)</f>
        <v/>
      </c>
      <c r="O6" s="27" t="str">
        <f aca="false">IF(J6="","",K6-J6)</f>
        <v/>
      </c>
      <c r="P6" s="20" t="str">
        <f aca="false">IF(SUM(F6:I6)=0,"",(G6+I6)/SUM(F6:I6))</f>
        <v/>
      </c>
    </row>
    <row r="7" customFormat="false" ht="15" hidden="false" customHeight="true" outlineLevel="0" collapsed="false">
      <c r="A7" s="55"/>
      <c r="B7" s="18"/>
      <c r="C7" s="28"/>
      <c r="D7" s="28"/>
      <c r="E7" s="28"/>
      <c r="F7" s="18"/>
      <c r="G7" s="18"/>
      <c r="H7" s="18"/>
      <c r="I7" s="18"/>
      <c r="J7" s="28"/>
      <c r="K7" s="28"/>
      <c r="L7" s="28"/>
      <c r="M7" s="28"/>
      <c r="N7" s="27" t="str">
        <f aca="false">IF(D7="","",0.75*D7+0.25*E7)</f>
        <v/>
      </c>
      <c r="O7" s="27" t="str">
        <f aca="false">IF(J7="","",K7-J7)</f>
        <v/>
      </c>
      <c r="P7" s="20" t="str">
        <f aca="false">IF(SUM(F7:I7)=0,"",(G7+I7)/SUM(F7:I7))</f>
        <v/>
      </c>
    </row>
    <row r="8" customFormat="false" ht="15" hidden="false" customHeight="true" outlineLevel="0" collapsed="false">
      <c r="A8" s="55"/>
      <c r="B8" s="18"/>
      <c r="C8" s="28"/>
      <c r="D8" s="28"/>
      <c r="E8" s="28"/>
      <c r="F8" s="18"/>
      <c r="G8" s="18"/>
      <c r="H8" s="18"/>
      <c r="I8" s="18"/>
      <c r="J8" s="28"/>
      <c r="K8" s="28"/>
      <c r="L8" s="28"/>
      <c r="M8" s="28"/>
      <c r="N8" s="27" t="str">
        <f aca="false">IF(D8="","",0.75*D8+0.25*E8)</f>
        <v/>
      </c>
      <c r="O8" s="27" t="str">
        <f aca="false">IF(J8="","",K8-J8)</f>
        <v/>
      </c>
      <c r="P8" s="20" t="str">
        <f aca="false">IF(SUM(F8:I8)=0,"",(G8+I8)/SUM(F8:I8))</f>
        <v/>
      </c>
    </row>
    <row r="9" customFormat="false" ht="15" hidden="false" customHeight="true" outlineLevel="0" collapsed="false">
      <c r="A9" s="55"/>
      <c r="B9" s="18"/>
      <c r="C9" s="28"/>
      <c r="D9" s="28"/>
      <c r="E9" s="28"/>
      <c r="F9" s="18"/>
      <c r="G9" s="18"/>
      <c r="H9" s="18"/>
      <c r="I9" s="18"/>
      <c r="J9" s="28"/>
      <c r="K9" s="28"/>
      <c r="L9" s="28"/>
      <c r="M9" s="28"/>
      <c r="N9" s="27" t="str">
        <f aca="false">IF(D9="","",0.75*D9+0.25*E9)</f>
        <v/>
      </c>
      <c r="O9" s="27" t="str">
        <f aca="false">IF(J9="","",K9-J9)</f>
        <v/>
      </c>
      <c r="P9" s="20" t="str">
        <f aca="false">IF(SUM(F9:I9)=0,"",(G9+I9)/SUM(F9:I9))</f>
        <v/>
      </c>
    </row>
    <row r="10" customFormat="false" ht="15" hidden="false" customHeight="true" outlineLevel="0" collapsed="false">
      <c r="A10" s="55"/>
      <c r="B10" s="18"/>
      <c r="C10" s="28"/>
      <c r="D10" s="28"/>
      <c r="E10" s="28"/>
      <c r="F10" s="18"/>
      <c r="G10" s="18"/>
      <c r="H10" s="18"/>
      <c r="I10" s="18"/>
      <c r="J10" s="28"/>
      <c r="K10" s="28"/>
      <c r="L10" s="28"/>
      <c r="M10" s="28"/>
      <c r="N10" s="27" t="str">
        <f aca="false">IF(D10="","",0.75*D10+0.25*E10)</f>
        <v/>
      </c>
      <c r="O10" s="27" t="str">
        <f aca="false">IF(J10="","",K10-J10)</f>
        <v/>
      </c>
      <c r="P10" s="20" t="str">
        <f aca="false">IF(SUM(F10:I10)=0,"",(G10+I10)/SUM(F10:I10))</f>
        <v/>
      </c>
    </row>
    <row r="11" customFormat="false" ht="15" hidden="false" customHeight="true" outlineLevel="0" collapsed="false">
      <c r="A11" s="55"/>
      <c r="B11" s="18"/>
      <c r="C11" s="28"/>
      <c r="D11" s="28"/>
      <c r="E11" s="28"/>
      <c r="F11" s="18"/>
      <c r="G11" s="18"/>
      <c r="H11" s="18"/>
      <c r="I11" s="18"/>
      <c r="J11" s="28"/>
      <c r="K11" s="28"/>
      <c r="L11" s="28"/>
      <c r="M11" s="28"/>
      <c r="N11" s="27" t="str">
        <f aca="false">IF(D11="","",0.75*D11+0.25*E11)</f>
        <v/>
      </c>
      <c r="O11" s="27" t="str">
        <f aca="false">IF(J11="","",K11-J11)</f>
        <v/>
      </c>
      <c r="P11" s="20" t="str">
        <f aca="false">IF(SUM(F11:I11)=0,"",(G11+I11)/SUM(F11:I11))</f>
        <v/>
      </c>
    </row>
    <row r="12" customFormat="false" ht="15" hidden="false" customHeight="true" outlineLevel="0" collapsed="false">
      <c r="A12" s="55"/>
      <c r="B12" s="18"/>
      <c r="C12" s="28"/>
      <c r="D12" s="28"/>
      <c r="E12" s="28"/>
      <c r="F12" s="18"/>
      <c r="G12" s="18"/>
      <c r="H12" s="18"/>
      <c r="I12" s="18"/>
      <c r="J12" s="28"/>
      <c r="K12" s="28"/>
      <c r="L12" s="28"/>
      <c r="M12" s="28"/>
      <c r="N12" s="27" t="str">
        <f aca="false">IF(D12="","",0.75*D12+0.25*E12)</f>
        <v/>
      </c>
      <c r="O12" s="27" t="str">
        <f aca="false">IF(J12="","",K12-J12)</f>
        <v/>
      </c>
      <c r="P12" s="20" t="str">
        <f aca="false">IF(SUM(F12:I12)=0,"",(G12+I12)/SUM(F12:I12))</f>
        <v/>
      </c>
    </row>
    <row r="13" customFormat="false" ht="15" hidden="false" customHeight="true" outlineLevel="0" collapsed="false">
      <c r="A13" s="55"/>
      <c r="B13" s="18"/>
      <c r="C13" s="28"/>
      <c r="D13" s="28"/>
      <c r="E13" s="28"/>
      <c r="F13" s="18"/>
      <c r="G13" s="18"/>
      <c r="H13" s="18"/>
      <c r="I13" s="18"/>
      <c r="J13" s="28"/>
      <c r="K13" s="28"/>
      <c r="L13" s="28"/>
      <c r="M13" s="28"/>
      <c r="N13" s="27" t="str">
        <f aca="false">IF(D13="","",0.75*D13+0.25*E13)</f>
        <v/>
      </c>
      <c r="O13" s="27" t="str">
        <f aca="false">IF(J13="","",K13-J13)</f>
        <v/>
      </c>
      <c r="P13" s="20" t="str">
        <f aca="false">IF(SUM(F13:I13)=0,"",(G13+I13)/SUM(F13:I13))</f>
        <v/>
      </c>
    </row>
    <row r="14" customFormat="false" ht="15" hidden="false" customHeight="true" outlineLevel="0" collapsed="false">
      <c r="A14" s="55"/>
      <c r="B14" s="18"/>
      <c r="C14" s="28"/>
      <c r="D14" s="28"/>
      <c r="E14" s="28"/>
      <c r="F14" s="18"/>
      <c r="G14" s="18"/>
      <c r="H14" s="18"/>
      <c r="I14" s="18"/>
      <c r="J14" s="28"/>
      <c r="K14" s="28"/>
      <c r="L14" s="28"/>
      <c r="M14" s="28"/>
      <c r="N14" s="27" t="str">
        <f aca="false">IF(D14="","",0.75*D14+0.25*E14)</f>
        <v/>
      </c>
      <c r="O14" s="27" t="str">
        <f aca="false">IF(J14="","",K14-J14)</f>
        <v/>
      </c>
      <c r="P14" s="20" t="str">
        <f aca="false">IF(SUM(F14:I14)=0,"",(G14+I14)/SUM(F14:I14))</f>
        <v/>
      </c>
    </row>
    <row r="15" customFormat="false" ht="15" hidden="false" customHeight="true" outlineLevel="0" collapsed="false">
      <c r="A15" s="56" t="s">
        <v>765</v>
      </c>
      <c r="B15" s="56" t="n">
        <f aca="false">SUM(B5:B14)</f>
        <v>40</v>
      </c>
      <c r="D15" s="62" t="n">
        <f aca="false">IFERROR(AVERAGE(D5:D14),"")</f>
        <v>0.04</v>
      </c>
      <c r="E15" s="62" t="n">
        <f aca="false">IFERROR(AVERAGE(E5:E14),"")</f>
        <v>0.06</v>
      </c>
      <c r="J15" s="62" t="n">
        <f aca="false">IFERROR(AVERAGE(J5:J14),"")</f>
        <v>0.935</v>
      </c>
      <c r="K15" s="62" t="n">
        <f aca="false">IFERROR(AVERAGE(K5:K14),"")</f>
        <v>0.97</v>
      </c>
      <c r="N15" s="62" t="n">
        <f aca="false">IFERROR(AVERAGE(N5:N14),"")</f>
        <v>0.045</v>
      </c>
    </row>
    <row r="17" customFormat="false" ht="15" hidden="false" customHeight="true" outlineLevel="0" collapsed="false">
      <c r="A17" s="58" t="s">
        <v>766</v>
      </c>
    </row>
  </sheetData>
  <conditionalFormatting sqref="O5:O14">
    <cfRule type="expression" priority="2" aboveAverage="0" equalAverage="0" bottom="0" percent="0" rank="0" text="" dxfId="5">
      <formula>AND(ISNUMBER(O5),O5&gt;0.03)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50"/>
    <col collapsed="false" customWidth="true" hidden="false" outlineLevel="0" max="5" min="5" style="1" width="10"/>
  </cols>
  <sheetData>
    <row r="1" customFormat="false" ht="17.25" hidden="false" customHeight="true" outlineLevel="0" collapsed="false">
      <c r="A1" s="53" t="s">
        <v>767</v>
      </c>
    </row>
    <row r="4" customFormat="false" ht="15" hidden="false" customHeight="true" outlineLevel="0" collapsed="false">
      <c r="A4" s="12" t="s">
        <v>768</v>
      </c>
      <c r="B4" s="12" t="s">
        <v>769</v>
      </c>
      <c r="C4" s="12" t="s">
        <v>770</v>
      </c>
      <c r="D4" s="12" t="s">
        <v>771</v>
      </c>
      <c r="E4" s="12" t="s">
        <v>772</v>
      </c>
    </row>
    <row r="5" customFormat="false" ht="15" hidden="false" customHeight="true" outlineLevel="0" collapsed="false">
      <c r="A5" s="13" t="n">
        <v>1</v>
      </c>
      <c r="B5" s="14" t="s">
        <v>773</v>
      </c>
      <c r="C5" s="13" t="s">
        <v>62</v>
      </c>
      <c r="D5" s="14" t="s">
        <v>774</v>
      </c>
      <c r="E5" s="18" t="s">
        <v>775</v>
      </c>
    </row>
    <row r="6" customFormat="false" ht="15" hidden="false" customHeight="true" outlineLevel="0" collapsed="false">
      <c r="A6" s="13" t="n">
        <v>2</v>
      </c>
      <c r="B6" s="14" t="s">
        <v>776</v>
      </c>
      <c r="C6" s="13" t="s">
        <v>62</v>
      </c>
      <c r="D6" s="14" t="s">
        <v>777</v>
      </c>
      <c r="E6" s="18" t="s">
        <v>775</v>
      </c>
    </row>
    <row r="7" customFormat="false" ht="15" hidden="false" customHeight="true" outlineLevel="0" collapsed="false">
      <c r="A7" s="13" t="n">
        <v>3</v>
      </c>
      <c r="B7" s="14" t="s">
        <v>778</v>
      </c>
      <c r="C7" s="13" t="s">
        <v>62</v>
      </c>
      <c r="D7" s="14" t="s">
        <v>779</v>
      </c>
      <c r="E7" s="18" t="s">
        <v>775</v>
      </c>
    </row>
    <row r="8" customFormat="false" ht="15" hidden="false" customHeight="true" outlineLevel="0" collapsed="false">
      <c r="A8" s="13" t="n">
        <v>4</v>
      </c>
      <c r="B8" s="14" t="s">
        <v>780</v>
      </c>
      <c r="C8" s="13" t="s">
        <v>64</v>
      </c>
      <c r="D8" s="14" t="s">
        <v>781</v>
      </c>
      <c r="E8" s="18" t="s">
        <v>775</v>
      </c>
    </row>
    <row r="9" customFormat="false" ht="15" hidden="false" customHeight="true" outlineLevel="0" collapsed="false">
      <c r="A9" s="13" t="n">
        <v>5</v>
      </c>
      <c r="B9" s="14" t="s">
        <v>782</v>
      </c>
      <c r="C9" s="13" t="s">
        <v>66</v>
      </c>
      <c r="D9" s="14" t="s">
        <v>783</v>
      </c>
      <c r="E9" s="18" t="s">
        <v>775</v>
      </c>
    </row>
    <row r="10" customFormat="false" ht="15" hidden="false" customHeight="true" outlineLevel="0" collapsed="false">
      <c r="A10" s="13" t="n">
        <v>6</v>
      </c>
      <c r="B10" s="14" t="s">
        <v>784</v>
      </c>
      <c r="C10" s="13" t="s">
        <v>66</v>
      </c>
      <c r="D10" s="14" t="s">
        <v>785</v>
      </c>
      <c r="E10" s="18" t="s">
        <v>775</v>
      </c>
    </row>
    <row r="11" customFormat="false" ht="15" hidden="false" customHeight="true" outlineLevel="0" collapsed="false">
      <c r="A11" s="13" t="n">
        <v>7</v>
      </c>
      <c r="B11" s="14" t="s">
        <v>786</v>
      </c>
      <c r="C11" s="13" t="s">
        <v>68</v>
      </c>
      <c r="D11" s="14" t="s">
        <v>787</v>
      </c>
      <c r="E11" s="18" t="s">
        <v>775</v>
      </c>
    </row>
    <row r="12" customFormat="false" ht="15" hidden="false" customHeight="true" outlineLevel="0" collapsed="false">
      <c r="A12" s="13" t="n">
        <v>8</v>
      </c>
      <c r="B12" s="14" t="s">
        <v>788</v>
      </c>
      <c r="C12" s="13" t="s">
        <v>70</v>
      </c>
      <c r="D12" s="14" t="s">
        <v>789</v>
      </c>
      <c r="E12" s="18" t="s">
        <v>775</v>
      </c>
    </row>
    <row r="13" customFormat="false" ht="23.25" hidden="false" customHeight="true" outlineLevel="0" collapsed="false">
      <c r="A13" s="13" t="n">
        <v>9</v>
      </c>
      <c r="B13" s="14" t="s">
        <v>790</v>
      </c>
      <c r="C13" s="13" t="s">
        <v>791</v>
      </c>
      <c r="D13" s="14" t="s">
        <v>792</v>
      </c>
      <c r="E13" s="18" t="s">
        <v>775</v>
      </c>
    </row>
    <row r="14" customFormat="false" ht="15" hidden="false" customHeight="true" outlineLevel="0" collapsed="false">
      <c r="A14" s="13" t="n">
        <v>10</v>
      </c>
      <c r="B14" s="14" t="s">
        <v>793</v>
      </c>
      <c r="C14" s="13" t="s">
        <v>794</v>
      </c>
      <c r="D14" s="14" t="s">
        <v>795</v>
      </c>
      <c r="E14" s="18" t="s">
        <v>775</v>
      </c>
    </row>
    <row r="15" customFormat="false" ht="23.25" hidden="false" customHeight="true" outlineLevel="0" collapsed="false">
      <c r="A15" s="13" t="n">
        <v>11</v>
      </c>
      <c r="B15" s="14" t="s">
        <v>796</v>
      </c>
      <c r="C15" s="13" t="s">
        <v>797</v>
      </c>
      <c r="D15" s="14" t="s">
        <v>798</v>
      </c>
      <c r="E15" s="18" t="s">
        <v>775</v>
      </c>
    </row>
    <row r="16" customFormat="false" ht="15" hidden="false" customHeight="true" outlineLevel="0" collapsed="false">
      <c r="A16" s="13" t="n">
        <v>12</v>
      </c>
      <c r="B16" s="14" t="s">
        <v>799</v>
      </c>
      <c r="C16" s="13" t="s">
        <v>800</v>
      </c>
      <c r="D16" s="14" t="s">
        <v>801</v>
      </c>
      <c r="E16" s="18" t="s">
        <v>775</v>
      </c>
    </row>
    <row r="17" customFormat="false" ht="15" hidden="false" customHeight="true" outlineLevel="0" collapsed="false">
      <c r="A17" s="13" t="n">
        <v>13</v>
      </c>
      <c r="B17" s="14" t="s">
        <v>802</v>
      </c>
      <c r="C17" s="13" t="s">
        <v>803</v>
      </c>
      <c r="D17" s="14" t="s">
        <v>804</v>
      </c>
      <c r="E17" s="18" t="s">
        <v>775</v>
      </c>
    </row>
    <row r="18" customFormat="false" ht="15" hidden="false" customHeight="true" outlineLevel="0" collapsed="false">
      <c r="A18" s="13" t="n">
        <v>14</v>
      </c>
      <c r="B18" s="14" t="s">
        <v>805</v>
      </c>
      <c r="C18" s="13" t="s">
        <v>70</v>
      </c>
      <c r="D18" s="14" t="s">
        <v>806</v>
      </c>
      <c r="E18" s="18" t="s">
        <v>775</v>
      </c>
    </row>
    <row r="19" customFormat="false" ht="15" hidden="false" customHeight="true" outlineLevel="0" collapsed="false">
      <c r="A19" s="13" t="n">
        <v>15</v>
      </c>
      <c r="B19" s="14" t="s">
        <v>807</v>
      </c>
      <c r="C19" s="13" t="s">
        <v>808</v>
      </c>
      <c r="D19" s="14" t="s">
        <v>809</v>
      </c>
      <c r="E19" s="18" t="s">
        <v>775</v>
      </c>
    </row>
    <row r="20" customFormat="false" ht="15" hidden="false" customHeight="true" outlineLevel="0" collapsed="false">
      <c r="A20" s="13" t="n">
        <v>16</v>
      </c>
      <c r="B20" s="14" t="s">
        <v>810</v>
      </c>
      <c r="C20" s="13" t="s">
        <v>811</v>
      </c>
      <c r="D20" s="14" t="s">
        <v>812</v>
      </c>
      <c r="E20" s="18" t="s">
        <v>775</v>
      </c>
    </row>
    <row r="21" customFormat="false" ht="15" hidden="false" customHeight="true" outlineLevel="0" collapsed="false">
      <c r="A21" s="13" t="n">
        <v>17</v>
      </c>
      <c r="B21" s="14" t="s">
        <v>813</v>
      </c>
      <c r="C21" s="13" t="s">
        <v>814</v>
      </c>
      <c r="D21" s="14" t="s">
        <v>815</v>
      </c>
      <c r="E21" s="18" t="s">
        <v>775</v>
      </c>
    </row>
    <row r="22" customFormat="false" ht="15" hidden="false" customHeight="true" outlineLevel="0" collapsed="false">
      <c r="A22" s="13" t="n">
        <v>18</v>
      </c>
      <c r="B22" s="14" t="s">
        <v>816</v>
      </c>
      <c r="C22" s="13" t="s">
        <v>817</v>
      </c>
      <c r="D22" s="14" t="s">
        <v>818</v>
      </c>
      <c r="E22" s="18" t="s">
        <v>775</v>
      </c>
    </row>
    <row r="23" customFormat="false" ht="15" hidden="false" customHeight="true" outlineLevel="0" collapsed="false">
      <c r="A23" s="13" t="n">
        <v>19</v>
      </c>
      <c r="B23" s="14" t="s">
        <v>819</v>
      </c>
      <c r="C23" s="13" t="s">
        <v>820</v>
      </c>
      <c r="D23" s="14" t="s">
        <v>821</v>
      </c>
      <c r="E23" s="18" t="s">
        <v>775</v>
      </c>
    </row>
    <row r="24" customFormat="false" ht="15" hidden="false" customHeight="true" outlineLevel="0" collapsed="false">
      <c r="A24" s="13" t="n">
        <v>20</v>
      </c>
      <c r="B24" s="14" t="s">
        <v>822</v>
      </c>
      <c r="C24" s="13" t="s">
        <v>823</v>
      </c>
      <c r="D24" s="14" t="s">
        <v>824</v>
      </c>
      <c r="E24" s="18" t="s">
        <v>775</v>
      </c>
    </row>
    <row r="25" customFormat="false" ht="15" hidden="false" customHeight="true" outlineLevel="0" collapsed="false">
      <c r="A25" s="13" t="n">
        <v>21</v>
      </c>
      <c r="B25" s="14" t="s">
        <v>825</v>
      </c>
      <c r="C25" s="13" t="s">
        <v>826</v>
      </c>
      <c r="D25" s="14" t="s">
        <v>827</v>
      </c>
      <c r="E25" s="18" t="s">
        <v>775</v>
      </c>
    </row>
    <row r="26" customFormat="false" ht="15" hidden="false" customHeight="true" outlineLevel="0" collapsed="false">
      <c r="A26" s="13" t="n">
        <v>22</v>
      </c>
      <c r="B26" s="14" t="s">
        <v>828</v>
      </c>
      <c r="C26" s="13" t="s">
        <v>829</v>
      </c>
      <c r="D26" s="14" t="s">
        <v>830</v>
      </c>
      <c r="E26" s="18" t="s">
        <v>775</v>
      </c>
    </row>
    <row r="28" customFormat="false" ht="15" hidden="false" customHeight="false" outlineLevel="0" collapsed="false">
      <c r="A28" s="52" t="s">
        <v>831</v>
      </c>
    </row>
  </sheetData>
  <dataValidations count="1">
    <dataValidation allowBlank="true" errorStyle="stop" operator="between" showDropDown="false" showErrorMessage="false" showInputMessage="false" sqref="E5:E26" type="list">
      <formula1>"Chưa,Rồi"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8"/>
  </cols>
  <sheetData>
    <row r="1" customFormat="false" ht="17.25" hidden="false" customHeight="true" outlineLevel="0" collapsed="false">
      <c r="A1" s="2" t="s">
        <v>832</v>
      </c>
    </row>
    <row r="2" customFormat="false" ht="15" hidden="false" customHeight="true" outlineLevel="0" collapsed="false">
      <c r="A2" s="3" t="s">
        <v>833</v>
      </c>
    </row>
    <row r="4" customFormat="false" ht="15.75" hidden="false" customHeight="true" outlineLevel="0" collapsed="false">
      <c r="A4" s="60" t="s">
        <v>834</v>
      </c>
    </row>
    <row r="5" customFormat="false" ht="15.75" hidden="false" customHeight="true" outlineLevel="0" collapsed="false">
      <c r="B5" s="14" t="s">
        <v>835</v>
      </c>
      <c r="C5" s="55"/>
    </row>
    <row r="6" customFormat="false" ht="15.75" hidden="false" customHeight="true" outlineLevel="0" collapsed="false">
      <c r="B6" s="14" t="s">
        <v>836</v>
      </c>
      <c r="C6" s="55"/>
    </row>
    <row r="7" customFormat="false" ht="15.75" hidden="false" customHeight="true" outlineLevel="0" collapsed="false">
      <c r="B7" s="14" t="s">
        <v>837</v>
      </c>
      <c r="C7" s="55"/>
    </row>
    <row r="8" customFormat="false" ht="28.5" hidden="false" customHeight="true" outlineLevel="0" collapsed="false">
      <c r="B8" s="14" t="s">
        <v>838</v>
      </c>
      <c r="C8" s="55"/>
    </row>
    <row r="9" customFormat="false" ht="15.75" hidden="false" customHeight="true" outlineLevel="0" collapsed="false">
      <c r="B9" s="14" t="s">
        <v>839</v>
      </c>
      <c r="C9" s="63" t="n">
        <f aca="false">IF(Snapshot!C24="","",Snapshot!C24)</f>
        <v>0.6026</v>
      </c>
    </row>
    <row r="10" customFormat="false" ht="15.75" hidden="false" customHeight="true" outlineLevel="0" collapsed="false"/>
    <row r="11" customFormat="false" ht="15.75" hidden="false" customHeight="true" outlineLevel="0" collapsed="false">
      <c r="A11" s="60" t="s">
        <v>840</v>
      </c>
    </row>
    <row r="12" customFormat="false" ht="28.5" hidden="false" customHeight="true" outlineLevel="0" collapsed="false">
      <c r="A12" s="12" t="s">
        <v>74</v>
      </c>
      <c r="B12" s="12" t="s">
        <v>599</v>
      </c>
      <c r="C12" s="12" t="s">
        <v>600</v>
      </c>
      <c r="D12" s="12" t="s">
        <v>259</v>
      </c>
      <c r="E12" s="12" t="s">
        <v>841</v>
      </c>
      <c r="F12" s="12" t="s">
        <v>842</v>
      </c>
      <c r="G12" s="12" t="s">
        <v>269</v>
      </c>
      <c r="H12" s="12" t="s">
        <v>843</v>
      </c>
      <c r="I12" s="12" t="s">
        <v>269</v>
      </c>
      <c r="J12" s="12" t="s">
        <v>89</v>
      </c>
    </row>
    <row r="13" customFormat="false" ht="28.5" hidden="false" customHeight="true" outlineLevel="0" collapsed="false">
      <c r="A13" s="13" t="s">
        <v>844</v>
      </c>
      <c r="B13" s="14" t="s">
        <v>845</v>
      </c>
      <c r="C13" s="14" t="s">
        <v>846</v>
      </c>
      <c r="D13" s="13" t="s">
        <v>96</v>
      </c>
      <c r="E13" s="64" t="n">
        <v>0.001</v>
      </c>
      <c r="F13" s="64" t="n">
        <v>0.00031</v>
      </c>
      <c r="G13" s="13" t="str">
        <f aca="false">IF(OR(F13="",E13=""),"",IF(F13&lt;=E13,"Đạt","Không đạt"))</f>
        <v>Đạt</v>
      </c>
      <c r="H13" s="65"/>
      <c r="I13" s="13" t="str">
        <f aca="false">IF(OR(H13="",E13=""),"",IF(H13&lt;=E13,"Đạt","Không đạt"))</f>
        <v/>
      </c>
      <c r="J13" s="14" t="s">
        <v>847</v>
      </c>
    </row>
    <row r="14" customFormat="false" ht="15.75" hidden="false" customHeight="true" outlineLevel="0" collapsed="false">
      <c r="A14" s="13" t="s">
        <v>848</v>
      </c>
      <c r="B14" s="14" t="s">
        <v>849</v>
      </c>
      <c r="C14" s="14" t="s">
        <v>850</v>
      </c>
      <c r="D14" s="13" t="s">
        <v>851</v>
      </c>
      <c r="E14" s="35" t="n">
        <v>0</v>
      </c>
      <c r="F14" s="34"/>
      <c r="G14" s="13" t="str">
        <f aca="false">IF(OR(F14="",E14=""),"",IF(F14&lt;=E14,"Đạt","Không đạt"))</f>
        <v/>
      </c>
      <c r="H14" s="34"/>
      <c r="I14" s="13" t="str">
        <f aca="false">IF(OR(H14="",E14=""),"",IF(H14&lt;=E14,"Đạt","Không đạt"))</f>
        <v/>
      </c>
      <c r="J14" s="14" t="s">
        <v>852</v>
      </c>
    </row>
    <row r="15" customFormat="false" ht="15.75" hidden="false" customHeight="true" outlineLevel="0" collapsed="false">
      <c r="A15" s="13" t="s">
        <v>853</v>
      </c>
      <c r="B15" s="14" t="s">
        <v>854</v>
      </c>
      <c r="C15" s="14" t="s">
        <v>855</v>
      </c>
      <c r="D15" s="13" t="s">
        <v>96</v>
      </c>
      <c r="E15" s="64" t="n">
        <v>0.001</v>
      </c>
      <c r="F15" s="65"/>
      <c r="G15" s="13" t="str">
        <f aca="false">IF(OR(F15="",E15=""),"",IF(F15&lt;=E15,"Đạt","Không đạt"))</f>
        <v/>
      </c>
      <c r="H15" s="65"/>
      <c r="I15" s="13" t="str">
        <f aca="false">IF(OR(H15="",E15=""),"",IF(H15&lt;=E15,"Đạt","Không đạt"))</f>
        <v/>
      </c>
      <c r="J15" s="14"/>
    </row>
    <row r="16" customFormat="false" ht="15.75" hidden="false" customHeight="true" outlineLevel="0" collapsed="false">
      <c r="A16" s="13" t="s">
        <v>856</v>
      </c>
      <c r="B16" s="14" t="s">
        <v>857</v>
      </c>
      <c r="C16" s="14" t="s">
        <v>858</v>
      </c>
      <c r="D16" s="13" t="s">
        <v>96</v>
      </c>
      <c r="E16" s="64" t="n">
        <v>0.0001</v>
      </c>
      <c r="F16" s="65"/>
      <c r="G16" s="13" t="str">
        <f aca="false">IF(OR(F16="",E16=""),"",IF(F16&lt;=E16,"Đạt","Không đạt"))</f>
        <v/>
      </c>
      <c r="H16" s="65"/>
      <c r="I16" s="13" t="str">
        <f aca="false">IF(OR(H16="",E16=""),"",IF(H16&lt;=E16,"Đạt","Không đạt"))</f>
        <v/>
      </c>
      <c r="J16" s="14" t="s">
        <v>859</v>
      </c>
    </row>
    <row r="17" customFormat="false" ht="15.75" hidden="false" customHeight="true" outlineLevel="0" collapsed="false">
      <c r="A17" s="13" t="s">
        <v>860</v>
      </c>
      <c r="B17" s="14" t="s">
        <v>861</v>
      </c>
      <c r="C17" s="14" t="s">
        <v>862</v>
      </c>
      <c r="D17" s="13" t="s">
        <v>96</v>
      </c>
      <c r="E17" s="64" t="n">
        <v>1E-005</v>
      </c>
      <c r="F17" s="65"/>
      <c r="G17" s="13" t="str">
        <f aca="false">IF(OR(F17="",E17=""),"",IF(F17&lt;=E17,"Đạt","Không đạt"))</f>
        <v/>
      </c>
      <c r="H17" s="65"/>
      <c r="I17" s="13" t="str">
        <f aca="false">IF(OR(H17="",E17=""),"",IF(H17&lt;=E17,"Đạt","Không đạt"))</f>
        <v/>
      </c>
      <c r="J17" s="14"/>
    </row>
    <row r="18" customFormat="false" ht="15.75" hidden="false" customHeight="true" outlineLevel="0" collapsed="false">
      <c r="A18" s="13" t="s">
        <v>863</v>
      </c>
      <c r="B18" s="14" t="s">
        <v>864</v>
      </c>
      <c r="C18" s="14" t="s">
        <v>865</v>
      </c>
      <c r="D18" s="13" t="s">
        <v>96</v>
      </c>
      <c r="E18" s="64" t="n">
        <v>0.0001</v>
      </c>
      <c r="F18" s="65"/>
      <c r="G18" s="13" t="str">
        <f aca="false">IF(OR(F18="",E18=""),"",IF(F18&lt;=E18,"Đạt","Không đạt"))</f>
        <v/>
      </c>
      <c r="H18" s="65"/>
      <c r="I18" s="13" t="str">
        <f aca="false">IF(OR(H18="",E18=""),"",IF(H18&lt;=E18,"Đạt","Không đạt"))</f>
        <v/>
      </c>
      <c r="J18" s="14"/>
    </row>
    <row r="19" customFormat="false" ht="15.75" hidden="false" customHeight="true" outlineLevel="0" collapsed="false">
      <c r="A19" s="13" t="s">
        <v>866</v>
      </c>
      <c r="B19" s="14" t="s">
        <v>867</v>
      </c>
      <c r="C19" s="14" t="s">
        <v>868</v>
      </c>
      <c r="D19" s="13" t="s">
        <v>285</v>
      </c>
      <c r="E19" s="41" t="n">
        <v>0.001</v>
      </c>
      <c r="F19" s="40"/>
      <c r="G19" s="13" t="str">
        <f aca="false">IF(OR(F19="",E19=""),"",IF(F19&lt;=E19,"Đạt","Không đạt"))</f>
        <v/>
      </c>
      <c r="H19" s="40"/>
      <c r="I19" s="13" t="str">
        <f aca="false">IF(OR(H19="",E19=""),"",IF(H19&lt;=E19,"Đạt","Không đạt"))</f>
        <v/>
      </c>
      <c r="J19" s="14"/>
    </row>
    <row r="20" customFormat="false" ht="15.75" hidden="false" customHeight="true" outlineLevel="0" collapsed="false">
      <c r="A20" s="13" t="s">
        <v>869</v>
      </c>
      <c r="B20" s="14" t="s">
        <v>870</v>
      </c>
      <c r="C20" s="14" t="s">
        <v>871</v>
      </c>
      <c r="D20" s="13" t="s">
        <v>285</v>
      </c>
      <c r="E20" s="41" t="n">
        <v>0.001</v>
      </c>
      <c r="F20" s="40"/>
      <c r="G20" s="13" t="str">
        <f aca="false">IF(OR(F20="",E20=""),"",IF(F20&lt;=E20,"Đạt","Không đạt"))</f>
        <v/>
      </c>
      <c r="H20" s="40"/>
      <c r="I20" s="13" t="str">
        <f aca="false">IF(OR(H20="",E20=""),"",IF(H20&lt;=E20,"Đạt","Không đạt"))</f>
        <v/>
      </c>
      <c r="J20" s="14"/>
    </row>
    <row r="21" customFormat="false" ht="15.75" hidden="false" customHeight="true" outlineLevel="0" collapsed="false">
      <c r="A21" s="13" t="s">
        <v>872</v>
      </c>
      <c r="B21" s="14" t="s">
        <v>873</v>
      </c>
      <c r="C21" s="14" t="s">
        <v>874</v>
      </c>
      <c r="D21" s="13" t="s">
        <v>875</v>
      </c>
      <c r="E21" s="35" t="n">
        <v>0</v>
      </c>
      <c r="F21" s="34"/>
      <c r="G21" s="13" t="str">
        <f aca="false">IF(OR(F21="",E21=""),"",IF(F21&lt;=E21,"Đạt","Không đạt"))</f>
        <v/>
      </c>
      <c r="H21" s="34"/>
      <c r="I21" s="13" t="str">
        <f aca="false">IF(OR(H21="",E21=""),"",IF(H21&lt;=E21,"Đạt","Không đạt"))</f>
        <v/>
      </c>
      <c r="J21" s="14"/>
    </row>
    <row r="22" customFormat="false" ht="15.75" hidden="false" customHeight="true" outlineLevel="0" collapsed="false">
      <c r="A22" s="13" t="s">
        <v>876</v>
      </c>
      <c r="B22" s="14" t="s">
        <v>877</v>
      </c>
      <c r="C22" s="14" t="s">
        <v>878</v>
      </c>
      <c r="D22" s="13" t="s">
        <v>297</v>
      </c>
      <c r="E22" s="35" t="n">
        <v>80</v>
      </c>
      <c r="F22" s="34"/>
      <c r="G22" s="13" t="str">
        <f aca="false">IF(OR(F22="",E22=""),"",IF(F22&lt;=E22,"Đạt","Không đạt"))</f>
        <v/>
      </c>
      <c r="H22" s="34"/>
      <c r="I22" s="13" t="str">
        <f aca="false">IF(OR(H22="",E22=""),"",IF(H22&lt;=E22,"Đạt","Không đạt"))</f>
        <v/>
      </c>
      <c r="J22" s="14" t="s">
        <v>879</v>
      </c>
    </row>
    <row r="23" customFormat="false" ht="15.75" hidden="false" customHeight="true" outlineLevel="0" collapsed="false">
      <c r="A23" s="13" t="s">
        <v>880</v>
      </c>
      <c r="B23" s="14" t="s">
        <v>881</v>
      </c>
      <c r="C23" s="14" t="s">
        <v>882</v>
      </c>
      <c r="D23" s="13" t="s">
        <v>883</v>
      </c>
      <c r="E23" s="35" t="n">
        <v>0</v>
      </c>
      <c r="F23" s="34"/>
      <c r="G23" s="13" t="str">
        <f aca="false">IF(OR(F23="",E23=""),"",IF(F23&lt;=E23,"Đạt","Không đạt"))</f>
        <v/>
      </c>
      <c r="H23" s="34"/>
      <c r="I23" s="13" t="str">
        <f aca="false">IF(OR(H23="",E23=""),"",IF(H23&lt;=E23,"Đạt","Không đạt"))</f>
        <v/>
      </c>
      <c r="J23" s="14"/>
    </row>
    <row r="24" customFormat="false" ht="15.75" hidden="false" customHeight="true" outlineLevel="0" collapsed="false">
      <c r="A24" s="13" t="s">
        <v>884</v>
      </c>
      <c r="B24" s="14" t="s">
        <v>885</v>
      </c>
      <c r="C24" s="14" t="s">
        <v>886</v>
      </c>
      <c r="D24" s="13" t="s">
        <v>96</v>
      </c>
      <c r="E24" s="26" t="n">
        <v>0.001</v>
      </c>
      <c r="F24" s="24"/>
      <c r="G24" s="13" t="str">
        <f aca="false">IF(OR(F24="",E24=""),"",IF(F24&lt;=E24,"Đạt","Không đạt"))</f>
        <v/>
      </c>
      <c r="H24" s="24"/>
      <c r="I24" s="13" t="str">
        <f aca="false">IF(OR(H24="",E24=""),"",IF(H24&lt;=E24,"Đạt","Không đạt"))</f>
        <v/>
      </c>
      <c r="J24" s="14"/>
    </row>
    <row r="25" customFormat="false" ht="15.75" hidden="false" customHeight="true" outlineLevel="0" collapsed="false">
      <c r="B25" s="19" t="s">
        <v>887</v>
      </c>
      <c r="F25" s="21" t="n">
        <f aca="false">COUNTIF(G13:G24,"Không đạt")</f>
        <v>0</v>
      </c>
      <c r="H25" s="21" t="n">
        <f aca="false">COUNTIF(I13:I24,"Không đạt")</f>
        <v>0</v>
      </c>
    </row>
    <row r="26" customFormat="false" ht="15.75" hidden="false" customHeight="true" outlineLevel="0" collapsed="false">
      <c r="B26" s="19" t="s">
        <v>888</v>
      </c>
      <c r="F26" s="21" t="n">
        <f aca="false">COUNTBLANK(F13:F24)</f>
        <v>11</v>
      </c>
      <c r="H26" s="21" t="n">
        <f aca="false">COUNTBLANK(H13:H24)</f>
        <v>12</v>
      </c>
    </row>
    <row r="27" customFormat="false" ht="15.75" hidden="false" customHeight="true" outlineLevel="0" collapsed="false">
      <c r="A27" s="52" t="s">
        <v>889</v>
      </c>
    </row>
    <row r="28" customFormat="false" ht="15.75" hidden="false" customHeight="true" outlineLevel="0" collapsed="false"/>
    <row r="29" customFormat="false" ht="15.75" hidden="false" customHeight="true" outlineLevel="0" collapsed="false">
      <c r="A29" s="60" t="s">
        <v>890</v>
      </c>
    </row>
    <row r="30" customFormat="false" ht="28.5" hidden="false" customHeight="true" outlineLevel="0" collapsed="false">
      <c r="A30" s="12" t="s">
        <v>768</v>
      </c>
      <c r="B30" s="12" t="s">
        <v>891</v>
      </c>
      <c r="C30" s="12" t="s">
        <v>892</v>
      </c>
      <c r="D30" s="12" t="s">
        <v>893</v>
      </c>
      <c r="E30" s="12" t="s">
        <v>894</v>
      </c>
      <c r="F30" s="12" t="s">
        <v>895</v>
      </c>
      <c r="G30" s="12"/>
      <c r="H30" s="12"/>
      <c r="I30" s="12"/>
      <c r="J30" s="12"/>
    </row>
    <row r="31" customFormat="false" ht="15.75" hidden="false" customHeight="true" outlineLevel="0" collapsed="false">
      <c r="A31" s="13" t="n">
        <v>1</v>
      </c>
      <c r="B31" s="18"/>
      <c r="C31" s="18"/>
      <c r="D31" s="34"/>
      <c r="E31" s="34"/>
      <c r="F31" s="18"/>
      <c r="G31" s="18"/>
      <c r="H31" s="18"/>
      <c r="I31" s="18"/>
      <c r="J31" s="18"/>
    </row>
    <row r="32" customFormat="false" ht="15.75" hidden="false" customHeight="true" outlineLevel="0" collapsed="false">
      <c r="A32" s="13" t="n">
        <v>2</v>
      </c>
      <c r="B32" s="18"/>
      <c r="C32" s="18"/>
      <c r="D32" s="34"/>
      <c r="E32" s="34"/>
      <c r="F32" s="18"/>
      <c r="G32" s="18"/>
      <c r="H32" s="18"/>
      <c r="I32" s="18"/>
      <c r="J32" s="18"/>
    </row>
    <row r="33" customFormat="false" ht="15.75" hidden="false" customHeight="true" outlineLevel="0" collapsed="false">
      <c r="A33" s="13" t="n">
        <v>3</v>
      </c>
      <c r="B33" s="18"/>
      <c r="C33" s="18"/>
      <c r="D33" s="34"/>
      <c r="E33" s="34"/>
      <c r="F33" s="18"/>
      <c r="G33" s="18"/>
      <c r="H33" s="18"/>
      <c r="I33" s="18"/>
      <c r="J33" s="18"/>
    </row>
    <row r="34" customFormat="false" ht="15.75" hidden="false" customHeight="true" outlineLevel="0" collapsed="false">
      <c r="A34" s="13" t="n">
        <v>4</v>
      </c>
      <c r="B34" s="18"/>
      <c r="C34" s="18"/>
      <c r="D34" s="34"/>
      <c r="E34" s="34"/>
      <c r="F34" s="18"/>
      <c r="G34" s="18"/>
      <c r="H34" s="18"/>
      <c r="I34" s="18"/>
      <c r="J34" s="18"/>
    </row>
    <row r="35" customFormat="false" ht="15.75" hidden="false" customHeight="true" outlineLevel="0" collapsed="false">
      <c r="A35" s="13" t="n">
        <v>5</v>
      </c>
      <c r="B35" s="18"/>
      <c r="C35" s="18"/>
      <c r="D35" s="34"/>
      <c r="E35" s="34"/>
      <c r="F35" s="18"/>
      <c r="G35" s="18"/>
      <c r="H35" s="18"/>
      <c r="I35" s="18"/>
      <c r="J35" s="18"/>
    </row>
  </sheetData>
  <mergeCells count="6">
    <mergeCell ref="F30:J30"/>
    <mergeCell ref="F31:J31"/>
    <mergeCell ref="F32:J32"/>
    <mergeCell ref="F33:J33"/>
    <mergeCell ref="F34:J34"/>
    <mergeCell ref="F35:J35"/>
  </mergeCells>
  <conditionalFormatting sqref="G13:G24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</conditionalFormatting>
  <conditionalFormatting sqref="I13:I24">
    <cfRule type="cellIs" priority="4" operator="equal" aboveAverage="0" equalAverage="0" bottom="0" percent="0" rank="0" text="" dxfId="0">
      <formula>"Đạt"</formula>
    </cfRule>
    <cfRule type="cellIs" priority="5" operator="equal" aboveAverage="0" equalAverage="0" bottom="0" percent="0" rank="0" text="" dxfId="1">
      <formula>"Không đạt"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50"/>
  </cols>
  <sheetData>
    <row r="1" customFormat="false" ht="17.25" hidden="false" customHeight="true" outlineLevel="0" collapsed="false">
      <c r="A1" s="2" t="s">
        <v>896</v>
      </c>
    </row>
    <row r="2" customFormat="false" ht="15" hidden="false" customHeight="true" outlineLevel="0" collapsed="false">
      <c r="A2" s="3" t="s">
        <v>897</v>
      </c>
    </row>
    <row r="4" customFormat="false" ht="15.75" hidden="false" customHeight="true" outlineLevel="0" collapsed="false">
      <c r="A4" s="60" t="s">
        <v>898</v>
      </c>
    </row>
    <row r="5" customFormat="false" ht="15.75" hidden="false" customHeight="true" outlineLevel="0" collapsed="false">
      <c r="A5" s="12" t="s">
        <v>347</v>
      </c>
      <c r="B5" s="12"/>
      <c r="C5" s="12" t="s">
        <v>261</v>
      </c>
      <c r="D5" s="12"/>
      <c r="E5" s="12"/>
      <c r="F5" s="12" t="s">
        <v>262</v>
      </c>
      <c r="G5" s="12"/>
      <c r="H5" s="12"/>
      <c r="I5" s="12" t="s">
        <v>89</v>
      </c>
    </row>
    <row r="6" customFormat="false" ht="15.75" hidden="false" customHeight="true" outlineLevel="0" collapsed="false">
      <c r="A6" s="14" t="s">
        <v>899</v>
      </c>
      <c r="B6" s="14"/>
      <c r="C6" s="18"/>
      <c r="D6" s="18"/>
      <c r="E6" s="18"/>
      <c r="F6" s="18"/>
      <c r="G6" s="18"/>
      <c r="H6" s="18"/>
      <c r="I6" s="14" t="s">
        <v>900</v>
      </c>
    </row>
    <row r="7" customFormat="false" ht="15.75" hidden="false" customHeight="true" outlineLevel="0" collapsed="false">
      <c r="A7" s="14" t="s">
        <v>901</v>
      </c>
      <c r="B7" s="14"/>
      <c r="C7" s="18"/>
      <c r="D7" s="18"/>
      <c r="E7" s="18"/>
      <c r="F7" s="18"/>
      <c r="G7" s="18"/>
      <c r="H7" s="18"/>
      <c r="I7" s="14" t="s">
        <v>902</v>
      </c>
    </row>
    <row r="8" customFormat="false" ht="15.75" hidden="false" customHeight="true" outlineLevel="0" collapsed="false">
      <c r="A8" s="14" t="s">
        <v>903</v>
      </c>
      <c r="B8" s="14"/>
      <c r="C8" s="18"/>
      <c r="D8" s="18"/>
      <c r="E8" s="18"/>
      <c r="F8" s="18"/>
      <c r="G8" s="18"/>
      <c r="H8" s="18"/>
      <c r="I8" s="14" t="s">
        <v>904</v>
      </c>
    </row>
    <row r="9" customFormat="false" ht="15.75" hidden="false" customHeight="true" outlineLevel="0" collapsed="false">
      <c r="A9" s="14" t="s">
        <v>905</v>
      </c>
      <c r="B9" s="14"/>
      <c r="C9" s="18"/>
      <c r="D9" s="18"/>
      <c r="E9" s="18"/>
      <c r="F9" s="18"/>
      <c r="G9" s="18"/>
      <c r="H9" s="18"/>
      <c r="I9" s="14" t="s">
        <v>906</v>
      </c>
    </row>
    <row r="10" customFormat="false" ht="15.75" hidden="false" customHeight="true" outlineLevel="0" collapsed="false">
      <c r="A10" s="14" t="s">
        <v>907</v>
      </c>
      <c r="B10" s="14"/>
      <c r="C10" s="18"/>
      <c r="D10" s="18"/>
      <c r="E10" s="18"/>
      <c r="F10" s="18"/>
      <c r="G10" s="18"/>
      <c r="H10" s="18"/>
      <c r="I10" s="14"/>
    </row>
    <row r="11" customFormat="false" ht="15.75" hidden="false" customHeight="true" outlineLevel="0" collapsed="false">
      <c r="A11" s="14" t="s">
        <v>908</v>
      </c>
      <c r="B11" s="14"/>
      <c r="C11" s="18"/>
      <c r="D11" s="18"/>
      <c r="E11" s="18"/>
      <c r="F11" s="18"/>
      <c r="G11" s="18"/>
      <c r="H11" s="18"/>
      <c r="I11" s="14" t="s">
        <v>909</v>
      </c>
    </row>
    <row r="12" customFormat="false" ht="15.75" hidden="false" customHeight="true" outlineLevel="0" collapsed="false">
      <c r="A12" s="14" t="s">
        <v>910</v>
      </c>
      <c r="B12" s="14"/>
      <c r="C12" s="18"/>
      <c r="D12" s="18"/>
      <c r="E12" s="18"/>
      <c r="F12" s="18"/>
      <c r="G12" s="18"/>
      <c r="H12" s="18"/>
      <c r="I12" s="14"/>
    </row>
    <row r="13" customFormat="false" ht="28.5" hidden="false" customHeight="true" outlineLevel="0" collapsed="false">
      <c r="A13" s="14" t="s">
        <v>911</v>
      </c>
      <c r="B13" s="14"/>
      <c r="C13" s="18"/>
      <c r="D13" s="18"/>
      <c r="E13" s="18"/>
      <c r="F13" s="18"/>
      <c r="G13" s="18"/>
      <c r="H13" s="18"/>
      <c r="I13" s="14" t="s">
        <v>912</v>
      </c>
    </row>
    <row r="14" customFormat="false" ht="15.75" hidden="false" customHeight="true" outlineLevel="0" collapsed="false">
      <c r="A14" s="14" t="s">
        <v>913</v>
      </c>
      <c r="B14" s="14"/>
      <c r="C14" s="18"/>
      <c r="D14" s="18"/>
      <c r="E14" s="18"/>
      <c r="F14" s="18"/>
      <c r="G14" s="18"/>
      <c r="H14" s="18"/>
      <c r="I14" s="14" t="s">
        <v>914</v>
      </c>
    </row>
    <row r="15" customFormat="false" ht="15.75" hidden="false" customHeight="true" outlineLevel="0" collapsed="false">
      <c r="A15" s="14" t="s">
        <v>915</v>
      </c>
      <c r="B15" s="14"/>
      <c r="C15" s="18"/>
      <c r="D15" s="18"/>
      <c r="E15" s="18"/>
      <c r="F15" s="18"/>
      <c r="G15" s="18"/>
      <c r="H15" s="18"/>
      <c r="I15" s="14" t="s">
        <v>916</v>
      </c>
    </row>
    <row r="16" customFormat="false" ht="15.75" hidden="false" customHeight="true" outlineLevel="0" collapsed="false">
      <c r="A16" s="14" t="s">
        <v>917</v>
      </c>
      <c r="B16" s="14"/>
      <c r="C16" s="18"/>
      <c r="D16" s="18"/>
      <c r="E16" s="18"/>
      <c r="F16" s="18"/>
      <c r="G16" s="18"/>
      <c r="H16" s="18"/>
      <c r="I16" s="14" t="s">
        <v>918</v>
      </c>
    </row>
    <row r="17" customFormat="false" ht="15.75" hidden="false" customHeight="true" outlineLevel="0" collapsed="false">
      <c r="A17" s="14" t="s">
        <v>919</v>
      </c>
      <c r="B17" s="14"/>
      <c r="C17" s="18"/>
      <c r="D17" s="18"/>
      <c r="E17" s="18"/>
      <c r="F17" s="18"/>
      <c r="G17" s="18"/>
      <c r="H17" s="18"/>
      <c r="I17" s="14" t="s">
        <v>920</v>
      </c>
    </row>
    <row r="18" customFormat="false" ht="15.75" hidden="false" customHeight="true" outlineLevel="0" collapsed="false"/>
    <row r="19" customFormat="false" ht="15.75" hidden="false" customHeight="true" outlineLevel="0" collapsed="false">
      <c r="A19" s="60" t="s">
        <v>921</v>
      </c>
    </row>
    <row r="20" customFormat="false" ht="28.5" hidden="false" customHeight="true" outlineLevel="0" collapsed="false">
      <c r="A20" s="12" t="s">
        <v>922</v>
      </c>
      <c r="B20" s="12" t="s">
        <v>259</v>
      </c>
      <c r="C20" s="12" t="s">
        <v>923</v>
      </c>
      <c r="D20" s="12" t="s">
        <v>924</v>
      </c>
      <c r="E20" s="12" t="s">
        <v>925</v>
      </c>
      <c r="F20" s="12" t="s">
        <v>926</v>
      </c>
      <c r="G20" s="12" t="s">
        <v>927</v>
      </c>
      <c r="H20" s="12" t="s">
        <v>928</v>
      </c>
      <c r="I20" s="12" t="s">
        <v>929</v>
      </c>
    </row>
    <row r="21" customFormat="false" ht="15.75" hidden="false" customHeight="true" outlineLevel="0" collapsed="false">
      <c r="A21" s="14" t="s">
        <v>930</v>
      </c>
      <c r="B21" s="13" t="s">
        <v>297</v>
      </c>
      <c r="C21" s="47" t="n">
        <v>5</v>
      </c>
      <c r="D21" s="47" t="n">
        <v>6</v>
      </c>
      <c r="E21" s="27" t="n">
        <f aca="false">IF(OR(C21="",$C$29="",$C$29=0),"",C21/$C$29)</f>
        <v>0.000520670623763407</v>
      </c>
      <c r="F21" s="46"/>
      <c r="G21" s="46"/>
      <c r="H21" s="25" t="str">
        <f aca="false">IF(OR(C21="",F21=""),"",IFERROR((F21-C21)/C21,""))</f>
        <v/>
      </c>
      <c r="I21" s="14"/>
    </row>
    <row r="22" customFormat="false" ht="15.75" hidden="false" customHeight="true" outlineLevel="0" collapsed="false">
      <c r="A22" s="14" t="s">
        <v>931</v>
      </c>
      <c r="B22" s="13" t="s">
        <v>297</v>
      </c>
      <c r="C22" s="47" t="n">
        <v>2</v>
      </c>
      <c r="D22" s="47" t="n">
        <v>3</v>
      </c>
      <c r="E22" s="27" t="n">
        <f aca="false">IF(OR(C22="",$C$29="",$C$29=0),"",C22/$C$29)</f>
        <v>0.000208268249505363</v>
      </c>
      <c r="F22" s="46"/>
      <c r="G22" s="46"/>
      <c r="H22" s="25" t="str">
        <f aca="false">IF(OR(C22="",F22=""),"",IFERROR((F22-C22)/C22,""))</f>
        <v/>
      </c>
      <c r="I22" s="14"/>
    </row>
    <row r="23" customFormat="false" ht="15.75" hidden="false" customHeight="true" outlineLevel="0" collapsed="false">
      <c r="A23" s="14" t="s">
        <v>932</v>
      </c>
      <c r="B23" s="13" t="s">
        <v>297</v>
      </c>
      <c r="C23" s="47" t="n">
        <v>60</v>
      </c>
      <c r="D23" s="47" t="n">
        <v>70</v>
      </c>
      <c r="E23" s="27" t="n">
        <f aca="false">IF(OR(C23="",$C$29="",$C$29=0),"",C23/$C$29)</f>
        <v>0.00624804748516089</v>
      </c>
      <c r="F23" s="46"/>
      <c r="G23" s="46"/>
      <c r="H23" s="25" t="str">
        <f aca="false">IF(OR(C23="",F23=""),"",IFERROR((F23-C23)/C23,""))</f>
        <v/>
      </c>
      <c r="I23" s="14" t="s">
        <v>933</v>
      </c>
    </row>
    <row r="24" customFormat="false" ht="28.5" hidden="false" customHeight="true" outlineLevel="0" collapsed="false">
      <c r="A24" s="14" t="s">
        <v>934</v>
      </c>
      <c r="B24" s="13" t="s">
        <v>297</v>
      </c>
      <c r="C24" s="47" t="n">
        <v>900</v>
      </c>
      <c r="D24" s="47" t="n">
        <v>980</v>
      </c>
      <c r="E24" s="27" t="n">
        <f aca="false">IF(OR(C24="",$C$29="",$C$29=0),"",C24/$C$29)</f>
        <v>0.0937207122774133</v>
      </c>
      <c r="F24" s="46"/>
      <c r="G24" s="46"/>
      <c r="H24" s="25" t="str">
        <f aca="false">IF(OR(C24="",F24=""),"",IFERROR((F24-C24)/C24,""))</f>
        <v/>
      </c>
      <c r="I24" s="14" t="s">
        <v>935</v>
      </c>
    </row>
    <row r="25" customFormat="false" ht="15.75" hidden="false" customHeight="true" outlineLevel="0" collapsed="false">
      <c r="A25" s="14" t="s">
        <v>936</v>
      </c>
      <c r="B25" s="13" t="s">
        <v>297</v>
      </c>
      <c r="C25" s="47" t="n">
        <v>8600</v>
      </c>
      <c r="D25" s="47" t="n">
        <v>9300</v>
      </c>
      <c r="E25" s="27" t="n">
        <f aca="false">IF(OR(C25="",$C$29="",$C$29=0),"",C25/$C$29)</f>
        <v>0.895553472873061</v>
      </c>
      <c r="F25" s="46"/>
      <c r="G25" s="46"/>
      <c r="H25" s="25" t="str">
        <f aca="false">IF(OR(C25="",F25=""),"",IFERROR((F25-C25)/C25,""))</f>
        <v/>
      </c>
      <c r="I25" s="14" t="s">
        <v>937</v>
      </c>
    </row>
    <row r="26" customFormat="false" ht="15.75" hidden="false" customHeight="true" outlineLevel="0" collapsed="false">
      <c r="A26" s="14" t="s">
        <v>938</v>
      </c>
      <c r="B26" s="13" t="s">
        <v>297</v>
      </c>
      <c r="C26" s="47" t="n">
        <v>5</v>
      </c>
      <c r="D26" s="47" t="n">
        <v>6</v>
      </c>
      <c r="E26" s="27" t="n">
        <f aca="false">IF(OR(C26="",$C$29="",$C$29=0),"",C26/$C$29)</f>
        <v>0.000520670623763407</v>
      </c>
      <c r="F26" s="46"/>
      <c r="G26" s="46"/>
      <c r="H26" s="25" t="str">
        <f aca="false">IF(OR(C26="",F26=""),"",IFERROR((F26-C26)/C26,""))</f>
        <v/>
      </c>
      <c r="I26" s="14"/>
    </row>
    <row r="27" customFormat="false" ht="15.75" hidden="false" customHeight="true" outlineLevel="0" collapsed="false">
      <c r="A27" s="14" t="s">
        <v>939</v>
      </c>
      <c r="B27" s="13" t="s">
        <v>297</v>
      </c>
      <c r="C27" s="47" t="n">
        <v>1</v>
      </c>
      <c r="D27" s="47" t="n">
        <v>2</v>
      </c>
      <c r="E27" s="27" t="n">
        <f aca="false">IF(OR(C27="",$C$29="",$C$29=0),"",C27/$C$29)</f>
        <v>0.000104134124752681</v>
      </c>
      <c r="F27" s="46"/>
      <c r="G27" s="46"/>
      <c r="H27" s="25" t="str">
        <f aca="false">IF(OR(C27="",F27=""),"",IFERROR((F27-C27)/C27,""))</f>
        <v/>
      </c>
      <c r="I27" s="14"/>
    </row>
    <row r="28" customFormat="false" ht="15.75" hidden="false" customHeight="true" outlineLevel="0" collapsed="false">
      <c r="A28" s="14" t="s">
        <v>940</v>
      </c>
      <c r="B28" s="13" t="s">
        <v>297</v>
      </c>
      <c r="C28" s="47" t="n">
        <v>30</v>
      </c>
      <c r="D28" s="47" t="n">
        <v>40</v>
      </c>
      <c r="E28" s="27" t="n">
        <f aca="false">IF(OR(C28="",$C$29="",$C$29=0),"",C28/$C$29)</f>
        <v>0.00312402374258044</v>
      </c>
      <c r="F28" s="46"/>
      <c r="G28" s="46"/>
      <c r="H28" s="25" t="str">
        <f aca="false">IF(OR(C28="",F28=""),"",IFERROR((F28-C28)/C28,""))</f>
        <v/>
      </c>
      <c r="I28" s="14"/>
    </row>
    <row r="29" customFormat="false" ht="28.5" hidden="false" customHeight="true" outlineLevel="0" collapsed="false">
      <c r="A29" s="19" t="s">
        <v>941</v>
      </c>
      <c r="B29" s="13" t="s">
        <v>297</v>
      </c>
      <c r="C29" s="66" t="n">
        <f aca="false">IF(COUNT(C21:C28)=0,"",SUM(C21:C28))</f>
        <v>9603</v>
      </c>
      <c r="D29" s="47" t="n">
        <v>10300</v>
      </c>
      <c r="E29" s="27" t="n">
        <f aca="false">IF(C29="","",SUM(E21:E28))</f>
        <v>1</v>
      </c>
      <c r="F29" s="66" t="str">
        <f aca="false">IF(COUNT(F21:F28)=0,"",SUM(F21:F28))</f>
        <v/>
      </c>
      <c r="G29" s="46"/>
      <c r="H29" s="25" t="str">
        <f aca="false">IF(OR(C29="",F29=""),"",IFERROR((F29-C29)/C29,""))</f>
        <v/>
      </c>
      <c r="I29" s="14" t="s">
        <v>942</v>
      </c>
    </row>
    <row r="30" customFormat="false" ht="15.75" hidden="false" customHeight="true" outlineLevel="0" collapsed="false"/>
    <row r="31" customFormat="false" ht="15.75" hidden="false" customHeight="true" outlineLevel="0" collapsed="false">
      <c r="A31" s="60" t="s">
        <v>943</v>
      </c>
    </row>
    <row r="32" customFormat="false" ht="15.75" hidden="false" customHeight="true" outlineLevel="0" collapsed="false">
      <c r="A32" s="12" t="s">
        <v>944</v>
      </c>
      <c r="B32" s="12" t="s">
        <v>259</v>
      </c>
      <c r="C32" s="12" t="s">
        <v>261</v>
      </c>
      <c r="D32" s="12"/>
      <c r="E32" s="12"/>
      <c r="F32" s="12" t="s">
        <v>262</v>
      </c>
      <c r="G32" s="12"/>
      <c r="H32" s="12" t="s">
        <v>264</v>
      </c>
      <c r="I32" s="12" t="s">
        <v>929</v>
      </c>
    </row>
    <row r="33" customFormat="false" ht="15.75" hidden="false" customHeight="true" outlineLevel="0" collapsed="false">
      <c r="A33" s="14" t="s">
        <v>945</v>
      </c>
      <c r="B33" s="13" t="s">
        <v>321</v>
      </c>
      <c r="C33" s="36" t="n">
        <f aca="false">IF(Snapshot!C21="","",Snapshot!C21)</f>
        <v>0.08</v>
      </c>
      <c r="D33" s="36"/>
      <c r="E33" s="36"/>
      <c r="F33" s="36" t="str">
        <f aca="false">IF(Snapshot!D21="","",Snapshot!D21)</f>
        <v/>
      </c>
      <c r="G33" s="36"/>
      <c r="H33" s="25" t="str">
        <f aca="false">IF(OR(C33="",F33=""),"",IFERROR((F33-C33)/C33,""))</f>
        <v/>
      </c>
      <c r="I33" s="14" t="s">
        <v>946</v>
      </c>
    </row>
    <row r="34" customFormat="false" ht="15.75" hidden="false" customHeight="true" outlineLevel="0" collapsed="false">
      <c r="A34" s="14" t="s">
        <v>947</v>
      </c>
      <c r="B34" s="13" t="s">
        <v>297</v>
      </c>
      <c r="C34" s="48" t="n">
        <f aca="false">C29</f>
        <v>9603</v>
      </c>
      <c r="D34" s="48"/>
      <c r="E34" s="48"/>
      <c r="F34" s="48" t="str">
        <f aca="false">F29</f>
        <v/>
      </c>
      <c r="G34" s="48"/>
      <c r="H34" s="25" t="str">
        <f aca="false">IF(OR(C34="",F34=""),"",IFERROR((F34-C34)/C34,""))</f>
        <v/>
      </c>
      <c r="I34" s="14" t="s">
        <v>948</v>
      </c>
    </row>
    <row r="35" customFormat="false" ht="15.75" hidden="false" customHeight="true" outlineLevel="0" collapsed="false">
      <c r="A35" s="14" t="s">
        <v>949</v>
      </c>
      <c r="B35" s="13" t="s">
        <v>297</v>
      </c>
      <c r="C35" s="48" t="n">
        <f aca="false">IF(D29="","",D29)</f>
        <v>10300</v>
      </c>
      <c r="D35" s="48"/>
      <c r="E35" s="48"/>
      <c r="F35" s="48" t="str">
        <f aca="false">IF(G29="","",G29)</f>
        <v/>
      </c>
      <c r="G35" s="48"/>
      <c r="H35" s="25" t="str">
        <f aca="false">IF(OR(C35="",F35=""),"",IFERROR((F35-C35)/C35,""))</f>
        <v/>
      </c>
      <c r="I35" s="14" t="s">
        <v>948</v>
      </c>
    </row>
    <row r="36" customFormat="false" ht="15.75" hidden="false" customHeight="true" outlineLevel="0" collapsed="false">
      <c r="A36" s="14" t="s">
        <v>950</v>
      </c>
      <c r="B36" s="13" t="s">
        <v>96</v>
      </c>
      <c r="C36" s="23" t="n">
        <f aca="false">IF(C34="","",C34/60000)</f>
        <v>0.16005</v>
      </c>
      <c r="D36" s="23"/>
      <c r="E36" s="23"/>
      <c r="F36" s="23" t="str">
        <f aca="false">IF(F34="","",F34/60000)</f>
        <v/>
      </c>
      <c r="G36" s="23"/>
      <c r="H36" s="25" t="str">
        <f aca="false">IF(OR(C36="",F36=""),"",IFERROR((F36-C36)/C36,""))</f>
        <v/>
      </c>
      <c r="I36" s="14"/>
    </row>
    <row r="37" customFormat="false" ht="15.75" hidden="false" customHeight="true" outlineLevel="0" collapsed="false">
      <c r="A37" s="14" t="s">
        <v>318</v>
      </c>
      <c r="B37" s="13" t="s">
        <v>96</v>
      </c>
      <c r="C37" s="23" t="n">
        <f aca="false">IF(C35="","",C35/60000)</f>
        <v>0.171666666666667</v>
      </c>
      <c r="D37" s="23"/>
      <c r="E37" s="23"/>
      <c r="F37" s="23" t="str">
        <f aca="false">IF(F35="","",F35/60000)</f>
        <v/>
      </c>
      <c r="G37" s="23"/>
      <c r="H37" s="25" t="str">
        <f aca="false">IF(OR(C37="",F37=""),"",IFERROR((F37-C37)/C37,""))</f>
        <v/>
      </c>
      <c r="I37" s="14"/>
    </row>
    <row r="38" customFormat="false" ht="15.75" hidden="false" customHeight="true" outlineLevel="0" collapsed="false">
      <c r="A38" s="14" t="s">
        <v>951</v>
      </c>
      <c r="B38" s="13" t="s">
        <v>952</v>
      </c>
      <c r="C38" s="42" t="n">
        <f aca="false">IF(OR(C36="",C36=0),"",1/C36)</f>
        <v>6.24804748516089</v>
      </c>
      <c r="D38" s="42"/>
      <c r="E38" s="42"/>
      <c r="F38" s="42" t="str">
        <f aca="false">IF(OR(F36="",F36=0),"",1/F36)</f>
        <v/>
      </c>
      <c r="G38" s="42"/>
      <c r="H38" s="25" t="str">
        <f aca="false">IF(OR(C38="",F38=""),"",IFERROR((F38-C38)/C38,""))</f>
        <v/>
      </c>
      <c r="I38" s="14" t="s">
        <v>953</v>
      </c>
    </row>
    <row r="39" customFormat="false" ht="15.75" hidden="false" customHeight="true" outlineLevel="0" collapsed="false">
      <c r="A39" s="14" t="s">
        <v>954</v>
      </c>
      <c r="B39" s="13" t="s">
        <v>955</v>
      </c>
      <c r="C39" s="48" t="n">
        <f aca="false">IF(OR(C33="",C33=0),"",60/C33)</f>
        <v>750</v>
      </c>
      <c r="D39" s="48"/>
      <c r="E39" s="48"/>
      <c r="F39" s="48" t="str">
        <f aca="false">IF(OR(F33="",F33=0),"",60/F33)</f>
        <v/>
      </c>
      <c r="G39" s="48"/>
      <c r="H39" s="25" t="str">
        <f aca="false">IF(OR(C39="",F39=""),"",IFERROR((F39-C39)/C39,""))</f>
        <v/>
      </c>
      <c r="I39" s="14" t="s">
        <v>956</v>
      </c>
    </row>
    <row r="40" customFormat="false" ht="15.75" hidden="false" customHeight="true" outlineLevel="0" collapsed="false">
      <c r="A40" s="14" t="s">
        <v>957</v>
      </c>
      <c r="B40" s="13" t="s">
        <v>297</v>
      </c>
      <c r="C40" s="35" t="n">
        <v>85</v>
      </c>
      <c r="D40" s="35"/>
      <c r="E40" s="35"/>
      <c r="F40" s="34"/>
      <c r="G40" s="34"/>
      <c r="H40" s="25" t="str">
        <f aca="false">IF(OR(C40="",F40=""),"",IFERROR((F40-C40)/C40,""))</f>
        <v/>
      </c>
      <c r="I40" s="14"/>
    </row>
    <row r="41" customFormat="false" ht="15.75" hidden="false" customHeight="true" outlineLevel="0" collapsed="false">
      <c r="A41" s="14" t="s">
        <v>958</v>
      </c>
      <c r="B41" s="13" t="s">
        <v>321</v>
      </c>
      <c r="C41" s="33" t="n">
        <f aca="false">IF(C36="","",C36*3600)</f>
        <v>576.18</v>
      </c>
      <c r="D41" s="33"/>
      <c r="E41" s="33"/>
      <c r="F41" s="33" t="str">
        <f aca="false">IF(F36="","",F36*3600)</f>
        <v/>
      </c>
      <c r="G41" s="33"/>
      <c r="H41" s="25" t="str">
        <f aca="false">IF(OR(C41="",F41=""),"",IFERROR((F41-C41)/C41,""))</f>
        <v/>
      </c>
      <c r="I41" s="14" t="s">
        <v>959</v>
      </c>
    </row>
    <row r="42" customFormat="false" ht="15.75" hidden="false" customHeight="true" outlineLevel="0" collapsed="false"/>
    <row r="43" customFormat="false" ht="15.75" hidden="false" customHeight="true" outlineLevel="0" collapsed="false">
      <c r="A43" s="60" t="s">
        <v>960</v>
      </c>
    </row>
    <row r="44" customFormat="false" ht="15.75" hidden="false" customHeight="true" outlineLevel="0" collapsed="false">
      <c r="A44" s="12" t="s">
        <v>944</v>
      </c>
      <c r="B44" s="12" t="s">
        <v>259</v>
      </c>
      <c r="C44" s="12" t="s">
        <v>261</v>
      </c>
      <c r="D44" s="12"/>
      <c r="E44" s="12"/>
      <c r="F44" s="12" t="s">
        <v>262</v>
      </c>
      <c r="G44" s="12"/>
      <c r="H44" s="12" t="s">
        <v>264</v>
      </c>
      <c r="I44" s="12" t="s">
        <v>929</v>
      </c>
    </row>
    <row r="45" customFormat="false" ht="15.75" hidden="false" customHeight="true" outlineLevel="0" collapsed="false">
      <c r="A45" s="14" t="s">
        <v>961</v>
      </c>
      <c r="B45" s="13" t="s">
        <v>285</v>
      </c>
      <c r="C45" s="29" t="n">
        <v>0.98</v>
      </c>
      <c r="D45" s="29"/>
      <c r="E45" s="29"/>
      <c r="F45" s="28"/>
      <c r="G45" s="28"/>
      <c r="H45" s="25" t="str">
        <f aca="false">IF(OR(C45="",F45=""),"",IFERROR((F45-C45)/C45,""))</f>
        <v/>
      </c>
      <c r="I45" s="14" t="s">
        <v>962</v>
      </c>
    </row>
    <row r="46" customFormat="false" ht="28.5" hidden="false" customHeight="true" outlineLevel="0" collapsed="false">
      <c r="A46" s="14" t="s">
        <v>963</v>
      </c>
      <c r="B46" s="13" t="s">
        <v>321</v>
      </c>
      <c r="C46" s="38" t="n">
        <v>9.8</v>
      </c>
      <c r="D46" s="38"/>
      <c r="E46" s="38"/>
      <c r="F46" s="37"/>
      <c r="G46" s="37"/>
      <c r="H46" s="25" t="str">
        <f aca="false">IF(OR(C46="",F46=""),"",IFERROR((F46-C46)/C46,""))</f>
        <v/>
      </c>
      <c r="I46" s="14" t="s">
        <v>964</v>
      </c>
    </row>
    <row r="47" customFormat="false" ht="15.75" hidden="false" customHeight="true" outlineLevel="0" collapsed="false">
      <c r="A47" s="14" t="s">
        <v>965</v>
      </c>
      <c r="B47" s="13" t="s">
        <v>966</v>
      </c>
      <c r="C47" s="50" t="n">
        <v>1450</v>
      </c>
      <c r="D47" s="50"/>
      <c r="E47" s="50"/>
      <c r="F47" s="49"/>
      <c r="G47" s="49"/>
      <c r="H47" s="25" t="str">
        <f aca="false">IF(OR(C47="",F47=""),"",IFERROR((F47-C47)/C47,""))</f>
        <v/>
      </c>
      <c r="I47" s="14" t="s">
        <v>967</v>
      </c>
    </row>
    <row r="48" customFormat="false" ht="15.75" hidden="false" customHeight="true" outlineLevel="0" collapsed="false">
      <c r="A48" s="14" t="s">
        <v>968</v>
      </c>
      <c r="B48" s="13" t="s">
        <v>966</v>
      </c>
      <c r="C48" s="50" t="n">
        <v>250</v>
      </c>
      <c r="D48" s="50"/>
      <c r="E48" s="50"/>
      <c r="F48" s="49"/>
      <c r="G48" s="49"/>
      <c r="H48" s="25" t="str">
        <f aca="false">IF(OR(C48="",F48=""),"",IFERROR((F48-C48)/C48,""))</f>
        <v/>
      </c>
      <c r="I48" s="14" t="s">
        <v>969</v>
      </c>
    </row>
    <row r="49" customFormat="false" ht="15.75" hidden="false" customHeight="true" outlineLevel="0" collapsed="false">
      <c r="A49" s="14" t="s">
        <v>970</v>
      </c>
      <c r="B49" s="13" t="s">
        <v>966</v>
      </c>
      <c r="C49" s="48" t="n">
        <f aca="false">IF(OR(C47="",C48=""),"",C47-C48)</f>
        <v>1200</v>
      </c>
      <c r="D49" s="48"/>
      <c r="E49" s="48"/>
      <c r="F49" s="48" t="str">
        <f aca="false">IF(OR(F47="",F48=""),"",F47-F48)</f>
        <v/>
      </c>
      <c r="G49" s="48"/>
      <c r="H49" s="25" t="str">
        <f aca="false">IF(OR(C49="",F49=""),"",IFERROR((F49-C49)/C49,""))</f>
        <v/>
      </c>
      <c r="I49" s="14"/>
    </row>
    <row r="50" customFormat="false" ht="15.75" hidden="false" customHeight="true" outlineLevel="0" collapsed="false">
      <c r="A50" s="14" t="s">
        <v>971</v>
      </c>
      <c r="B50" s="13" t="s">
        <v>321</v>
      </c>
      <c r="C50" s="36" t="n">
        <f aca="false">IF(C34="","",C34/1000)</f>
        <v>9.603</v>
      </c>
      <c r="D50" s="36"/>
      <c r="E50" s="36"/>
      <c r="F50" s="36" t="str">
        <f aca="false">IF(F34="","",F34/1000)</f>
        <v/>
      </c>
      <c r="G50" s="36"/>
      <c r="H50" s="25" t="str">
        <f aca="false">IF(OR(C50="",F50=""),"",IFERROR((F50-C50)/C50,""))</f>
        <v/>
      </c>
      <c r="I50" s="14" t="s">
        <v>972</v>
      </c>
    </row>
    <row r="51" customFormat="false" ht="15.75" hidden="false" customHeight="true" outlineLevel="0" collapsed="false">
      <c r="A51" s="14" t="s">
        <v>323</v>
      </c>
      <c r="B51" s="13" t="s">
        <v>324</v>
      </c>
      <c r="C51" s="42" t="n">
        <f aca="false">IF(OR(C49="",C50=""),"",C49/1000*C50)</f>
        <v>11.5236</v>
      </c>
      <c r="D51" s="42"/>
      <c r="E51" s="42"/>
      <c r="F51" s="42" t="str">
        <f aca="false">IF(OR(F49="",F50=""),"",F49/1000*F50)</f>
        <v/>
      </c>
      <c r="G51" s="42"/>
      <c r="H51" s="25" t="str">
        <f aca="false">IF(OR(C51="",F51=""),"",IFERROR((F51-C51)/C51,""))</f>
        <v/>
      </c>
      <c r="I51" s="14" t="s">
        <v>973</v>
      </c>
    </row>
    <row r="52" customFormat="false" ht="15.75" hidden="false" customHeight="true" outlineLevel="0" collapsed="false">
      <c r="A52" s="14" t="s">
        <v>974</v>
      </c>
      <c r="B52" s="13" t="s">
        <v>324</v>
      </c>
      <c r="C52" s="48" t="n">
        <f aca="false">IF(C51="","",C51*60)</f>
        <v>691.416</v>
      </c>
      <c r="D52" s="48"/>
      <c r="E52" s="48"/>
      <c r="F52" s="48" t="str">
        <f aca="false">IF(F51="","",F51*60)</f>
        <v/>
      </c>
      <c r="G52" s="48"/>
      <c r="H52" s="25" t="str">
        <f aca="false">IF(OR(C52="",F52=""),"",IFERROR((F52-C52)/C52,""))</f>
        <v/>
      </c>
      <c r="I52" s="14"/>
    </row>
    <row r="53" customFormat="false" ht="15.75" hidden="false" customHeight="true" outlineLevel="0" collapsed="false"/>
    <row r="54" customFormat="false" ht="15.75" hidden="false" customHeight="true" outlineLevel="0" collapsed="false">
      <c r="A54" s="60" t="s">
        <v>975</v>
      </c>
    </row>
    <row r="55" customFormat="false" ht="15.75" hidden="false" customHeight="true" outlineLevel="0" collapsed="false">
      <c r="A55" s="12" t="s">
        <v>944</v>
      </c>
      <c r="B55" s="12" t="s">
        <v>259</v>
      </c>
      <c r="C55" s="12" t="s">
        <v>261</v>
      </c>
      <c r="D55" s="12"/>
      <c r="E55" s="12"/>
      <c r="F55" s="12" t="s">
        <v>262</v>
      </c>
      <c r="G55" s="12"/>
      <c r="H55" s="12" t="s">
        <v>264</v>
      </c>
      <c r="I55" s="12" t="s">
        <v>929</v>
      </c>
    </row>
    <row r="56" customFormat="false" ht="15.75" hidden="false" customHeight="true" outlineLevel="0" collapsed="false">
      <c r="A56" s="14" t="s">
        <v>976</v>
      </c>
      <c r="B56" s="13" t="s">
        <v>327</v>
      </c>
      <c r="C56" s="44" t="n">
        <v>22</v>
      </c>
      <c r="D56" s="44"/>
      <c r="E56" s="44"/>
      <c r="F56" s="43"/>
      <c r="G56" s="43"/>
      <c r="H56" s="25" t="str">
        <f aca="false">IF(OR(C56="",F56=""),"",IFERROR((F56-C56)/C56,""))</f>
        <v/>
      </c>
      <c r="I56" s="14" t="s">
        <v>977</v>
      </c>
    </row>
    <row r="57" customFormat="false" ht="15.75" hidden="false" customHeight="true" outlineLevel="0" collapsed="false">
      <c r="A57" s="14" t="s">
        <v>978</v>
      </c>
      <c r="B57" s="13" t="s">
        <v>327</v>
      </c>
      <c r="C57" s="44" t="n">
        <v>40</v>
      </c>
      <c r="D57" s="44"/>
      <c r="E57" s="44"/>
      <c r="F57" s="43"/>
      <c r="G57" s="43"/>
      <c r="H57" s="25" t="str">
        <f aca="false">IF(OR(C57="",F57=""),"",IFERROR((F57-C57)/C57,""))</f>
        <v/>
      </c>
      <c r="I57" s="14"/>
    </row>
    <row r="58" customFormat="false" ht="15.75" hidden="false" customHeight="true" outlineLevel="0" collapsed="false">
      <c r="A58" s="14" t="s">
        <v>979</v>
      </c>
      <c r="B58" s="13" t="s">
        <v>327</v>
      </c>
      <c r="C58" s="42" t="n">
        <f aca="false">IF(OR(C56="",C57=""),"",C57-C56)</f>
        <v>18</v>
      </c>
      <c r="D58" s="42"/>
      <c r="E58" s="42"/>
      <c r="F58" s="42" t="str">
        <f aca="false">IF(OR(F56="",F57=""),"",F57-F56)</f>
        <v/>
      </c>
      <c r="G58" s="42"/>
      <c r="H58" s="25" t="str">
        <f aca="false">IF(OR(C58="",F58=""),"",IFERROR((F58-C58)/C58,""))</f>
        <v/>
      </c>
      <c r="I58" s="14" t="s">
        <v>980</v>
      </c>
    </row>
    <row r="59" customFormat="false" ht="15.75" hidden="false" customHeight="true" outlineLevel="0" collapsed="false">
      <c r="A59" s="14" t="s">
        <v>981</v>
      </c>
      <c r="B59" s="13" t="s">
        <v>335</v>
      </c>
      <c r="C59" s="50" t="n">
        <v>2500</v>
      </c>
      <c r="D59" s="50"/>
      <c r="E59" s="50"/>
      <c r="F59" s="49"/>
      <c r="G59" s="49"/>
      <c r="H59" s="25" t="str">
        <f aca="false">IF(OR(C59="",F59=""),"",IFERROR((F59-C59)/C59,""))</f>
        <v/>
      </c>
      <c r="I59" s="14"/>
    </row>
    <row r="60" customFormat="false" ht="15.75" hidden="false" customHeight="true" outlineLevel="0" collapsed="false">
      <c r="A60" s="14" t="s">
        <v>982</v>
      </c>
      <c r="B60" s="13" t="s">
        <v>335</v>
      </c>
      <c r="C60" s="50" t="n">
        <v>15100</v>
      </c>
      <c r="D60" s="50"/>
      <c r="E60" s="50"/>
      <c r="F60" s="49"/>
      <c r="G60" s="49"/>
      <c r="H60" s="25" t="str">
        <f aca="false">IF(OR(C60="",F60=""),"",IFERROR((F60-C60)/C60,""))</f>
        <v/>
      </c>
      <c r="I60" s="14"/>
    </row>
    <row r="61" customFormat="false" ht="15.75" hidden="false" customHeight="true" outlineLevel="0" collapsed="false">
      <c r="A61" s="14" t="s">
        <v>983</v>
      </c>
      <c r="B61" s="13" t="s">
        <v>335</v>
      </c>
      <c r="C61" s="50" t="n">
        <v>3200</v>
      </c>
      <c r="D61" s="50"/>
      <c r="E61" s="50"/>
      <c r="F61" s="49"/>
      <c r="G61" s="49"/>
      <c r="H61" s="25" t="str">
        <f aca="false">IF(OR(C61="",F61=""),"",IFERROR((F61-C61)/C61,""))</f>
        <v/>
      </c>
      <c r="I61" s="14" t="s">
        <v>984</v>
      </c>
    </row>
    <row r="62" customFormat="false" ht="15" hidden="false" customHeight="false" outlineLevel="0" collapsed="false">
      <c r="A62" s="52" t="s">
        <v>985</v>
      </c>
    </row>
  </sheetData>
  <mergeCells count="91">
    <mergeCell ref="A5:B5"/>
    <mergeCell ref="C5:E5"/>
    <mergeCell ref="F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1:B11"/>
    <mergeCell ref="C11:E11"/>
    <mergeCell ref="F11:H11"/>
    <mergeCell ref="A12:B12"/>
    <mergeCell ref="C12:E12"/>
    <mergeCell ref="F12:H12"/>
    <mergeCell ref="A13:B13"/>
    <mergeCell ref="C13:E13"/>
    <mergeCell ref="F13:H13"/>
    <mergeCell ref="A14:B14"/>
    <mergeCell ref="C14:E14"/>
    <mergeCell ref="F14:H14"/>
    <mergeCell ref="A15:B15"/>
    <mergeCell ref="C15:E15"/>
    <mergeCell ref="F15:H15"/>
    <mergeCell ref="A16:B16"/>
    <mergeCell ref="C16:E16"/>
    <mergeCell ref="F16:H16"/>
    <mergeCell ref="A17:B17"/>
    <mergeCell ref="C17:E17"/>
    <mergeCell ref="F17:H17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4:E44"/>
    <mergeCell ref="F44:G44"/>
    <mergeCell ref="C45:E45"/>
    <mergeCell ref="F45:G45"/>
    <mergeCell ref="C46:E46"/>
    <mergeCell ref="F46:G46"/>
    <mergeCell ref="C47:E47"/>
    <mergeCell ref="F47:G47"/>
    <mergeCell ref="C48:E48"/>
    <mergeCell ref="F48:G48"/>
    <mergeCell ref="C49:E49"/>
    <mergeCell ref="F49:G49"/>
    <mergeCell ref="C50:E50"/>
    <mergeCell ref="F50:G50"/>
    <mergeCell ref="C51:E51"/>
    <mergeCell ref="F51:G51"/>
    <mergeCell ref="C52:E52"/>
    <mergeCell ref="F52:G52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C60:E60"/>
    <mergeCell ref="F60:G60"/>
    <mergeCell ref="C61:E61"/>
    <mergeCell ref="F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50"/>
  </cols>
  <sheetData>
    <row r="1" customFormat="false" ht="17.25" hidden="false" customHeight="true" outlineLevel="0" collapsed="false">
      <c r="A1" s="2" t="s">
        <v>986</v>
      </c>
    </row>
    <row r="2" customFormat="false" ht="15" hidden="false" customHeight="true" outlineLevel="0" collapsed="false">
      <c r="A2" s="3" t="s">
        <v>987</v>
      </c>
    </row>
    <row r="4" customFormat="false" ht="15.75" hidden="false" customHeight="true" outlineLevel="0" collapsed="false">
      <c r="A4" s="60" t="s">
        <v>988</v>
      </c>
    </row>
    <row r="5" customFormat="false" ht="15.75" hidden="false" customHeight="true" outlineLevel="0" collapsed="false">
      <c r="A5" s="12" t="s">
        <v>944</v>
      </c>
      <c r="B5" s="12" t="s">
        <v>259</v>
      </c>
      <c r="C5" s="12" t="s">
        <v>261</v>
      </c>
      <c r="D5" s="12" t="s">
        <v>262</v>
      </c>
      <c r="E5" s="12" t="s">
        <v>263</v>
      </c>
      <c r="F5" s="12" t="s">
        <v>929</v>
      </c>
    </row>
    <row r="6" customFormat="false" ht="15.75" hidden="false" customHeight="true" outlineLevel="0" collapsed="false">
      <c r="A6" s="14" t="s">
        <v>989</v>
      </c>
      <c r="B6" s="13" t="s">
        <v>990</v>
      </c>
      <c r="C6" s="35" t="n">
        <v>45</v>
      </c>
      <c r="D6" s="34"/>
      <c r="E6" s="67" t="str">
        <f aca="false">IF(OR(C6="",D6=""),"",D6-C6)</f>
        <v/>
      </c>
      <c r="F6" s="14" t="s">
        <v>991</v>
      </c>
    </row>
    <row r="7" customFormat="false" ht="15.75" hidden="false" customHeight="true" outlineLevel="0" collapsed="false">
      <c r="A7" s="14" t="s">
        <v>992</v>
      </c>
      <c r="B7" s="13" t="s">
        <v>875</v>
      </c>
      <c r="C7" s="34"/>
      <c r="D7" s="34"/>
      <c r="E7" s="67" t="str">
        <f aca="false">IF(OR(C7="",D7=""),"",D7-C7)</f>
        <v/>
      </c>
      <c r="F7" s="14" t="s">
        <v>993</v>
      </c>
    </row>
    <row r="8" customFormat="false" ht="15.75" hidden="false" customHeight="true" outlineLevel="0" collapsed="false">
      <c r="A8" s="14" t="s">
        <v>994</v>
      </c>
      <c r="B8" s="13" t="s">
        <v>297</v>
      </c>
      <c r="C8" s="34"/>
      <c r="D8" s="34"/>
      <c r="E8" s="67" t="str">
        <f aca="false">IF(OR(C8="",D8=""),"",D8-C8)</f>
        <v/>
      </c>
      <c r="F8" s="14" t="s">
        <v>995</v>
      </c>
    </row>
    <row r="9" customFormat="false" ht="15.75" hidden="false" customHeight="true" outlineLevel="0" collapsed="false">
      <c r="A9" s="14" t="s">
        <v>996</v>
      </c>
      <c r="B9" s="13" t="s">
        <v>297</v>
      </c>
      <c r="C9" s="34"/>
      <c r="D9" s="34"/>
      <c r="E9" s="67" t="str">
        <f aca="false">IF(OR(C9="",D9=""),"",D9-C9)</f>
        <v/>
      </c>
      <c r="F9" s="14"/>
    </row>
    <row r="10" customFormat="false" ht="15.75" hidden="false" customHeight="true" outlineLevel="0" collapsed="false">
      <c r="A10" s="14" t="s">
        <v>997</v>
      </c>
      <c r="B10" s="13" t="s">
        <v>297</v>
      </c>
      <c r="C10" s="34"/>
      <c r="D10" s="34"/>
      <c r="E10" s="67" t="str">
        <f aca="false">IF(OR(C10="",D10=""),"",D10-C10)</f>
        <v/>
      </c>
      <c r="F10" s="14" t="s">
        <v>998</v>
      </c>
    </row>
    <row r="11" customFormat="false" ht="15.75" hidden="false" customHeight="true" outlineLevel="0" collapsed="false">
      <c r="A11" s="14" t="s">
        <v>999</v>
      </c>
      <c r="B11" s="13" t="s">
        <v>297</v>
      </c>
      <c r="C11" s="34"/>
      <c r="D11" s="34"/>
      <c r="E11" s="67" t="str">
        <f aca="false">IF(OR(C11="",D11=""),"",D11-C11)</f>
        <v/>
      </c>
      <c r="F11" s="14"/>
    </row>
    <row r="12" customFormat="false" ht="15.75" hidden="false" customHeight="true" outlineLevel="0" collapsed="false">
      <c r="A12" s="14" t="s">
        <v>1000</v>
      </c>
      <c r="B12" s="13" t="s">
        <v>285</v>
      </c>
      <c r="C12" s="28"/>
      <c r="D12" s="28"/>
      <c r="E12" s="25" t="str">
        <f aca="false">IF(OR(C12="",D12=""),"",D12-C12)</f>
        <v/>
      </c>
      <c r="F12" s="14"/>
    </row>
    <row r="13" customFormat="false" ht="15.75" hidden="false" customHeight="true" outlineLevel="0" collapsed="false"/>
    <row r="14" customFormat="false" ht="15.75" hidden="false" customHeight="true" outlineLevel="0" collapsed="false">
      <c r="A14" s="60" t="s">
        <v>1001</v>
      </c>
    </row>
    <row r="15" customFormat="false" ht="28.5" hidden="false" customHeight="true" outlineLevel="0" collapsed="false">
      <c r="A15" s="12" t="s">
        <v>1002</v>
      </c>
      <c r="B15" s="12" t="s">
        <v>1003</v>
      </c>
      <c r="C15" s="12" t="s">
        <v>1004</v>
      </c>
      <c r="D15" s="12" t="s">
        <v>1005</v>
      </c>
      <c r="E15" s="12" t="s">
        <v>1006</v>
      </c>
      <c r="F15" s="12" t="s">
        <v>89</v>
      </c>
    </row>
    <row r="16" customFormat="false" ht="15.75" hidden="false" customHeight="true" outlineLevel="0" collapsed="false">
      <c r="A16" s="14" t="s">
        <v>1007</v>
      </c>
      <c r="B16" s="28"/>
      <c r="C16" s="28"/>
      <c r="D16" s="28"/>
      <c r="E16" s="28"/>
      <c r="F16" s="14" t="s">
        <v>1008</v>
      </c>
    </row>
    <row r="17" customFormat="false" ht="15.75" hidden="false" customHeight="true" outlineLevel="0" collapsed="false">
      <c r="A17" s="14" t="s">
        <v>1009</v>
      </c>
      <c r="B17" s="29" t="n">
        <v>0.97</v>
      </c>
      <c r="C17" s="29" t="n">
        <v>0.07</v>
      </c>
      <c r="D17" s="28"/>
      <c r="E17" s="28"/>
      <c r="F17" s="14" t="s">
        <v>1010</v>
      </c>
    </row>
    <row r="18" customFormat="false" ht="15.75" hidden="false" customHeight="true" outlineLevel="0" collapsed="false">
      <c r="A18" s="14" t="s">
        <v>1011</v>
      </c>
      <c r="B18" s="28"/>
      <c r="C18" s="28"/>
      <c r="D18" s="28"/>
      <c r="E18" s="28"/>
      <c r="F18" s="14"/>
    </row>
    <row r="19" customFormat="false" ht="15.75" hidden="false" customHeight="true" outlineLevel="0" collapsed="false">
      <c r="A19" s="14" t="s">
        <v>1012</v>
      </c>
      <c r="B19" s="28"/>
      <c r="C19" s="28"/>
      <c r="D19" s="28"/>
      <c r="E19" s="28"/>
      <c r="F19" s="14" t="s">
        <v>1013</v>
      </c>
    </row>
    <row r="20" customFormat="false" ht="15.75" hidden="false" customHeight="true" outlineLevel="0" collapsed="false">
      <c r="A20" s="19" t="s">
        <v>1014</v>
      </c>
      <c r="B20" s="25" t="str">
        <f aca="false">IF(OR(B18="",B17=""),"",B18-B17)</f>
        <v/>
      </c>
      <c r="C20" s="13"/>
      <c r="D20" s="25" t="str">
        <f aca="false">IF(OR(D18="",D17=""),"",D18-D17)</f>
        <v/>
      </c>
      <c r="E20" s="13"/>
      <c r="F20" s="14" t="s">
        <v>1015</v>
      </c>
    </row>
    <row r="21" customFormat="false" ht="15.75" hidden="false" customHeight="true" outlineLevel="0" collapsed="false"/>
    <row r="22" customFormat="false" ht="15.75" hidden="false" customHeight="true" outlineLevel="0" collapsed="false">
      <c r="A22" s="60" t="s">
        <v>1016</v>
      </c>
    </row>
    <row r="23" customFormat="false" ht="15.75" hidden="false" customHeight="true" outlineLevel="0" collapsed="false">
      <c r="A23" s="12" t="s">
        <v>944</v>
      </c>
      <c r="B23" s="12" t="s">
        <v>259</v>
      </c>
      <c r="C23" s="12" t="s">
        <v>261</v>
      </c>
      <c r="D23" s="12" t="s">
        <v>262</v>
      </c>
      <c r="E23" s="12" t="s">
        <v>263</v>
      </c>
      <c r="F23" s="12" t="s">
        <v>929</v>
      </c>
    </row>
    <row r="24" customFormat="false" ht="28.5" hidden="false" customHeight="true" outlineLevel="0" collapsed="false">
      <c r="A24" s="14" t="s">
        <v>1017</v>
      </c>
      <c r="B24" s="13" t="s">
        <v>297</v>
      </c>
      <c r="C24" s="35" t="n">
        <v>0</v>
      </c>
      <c r="D24" s="34"/>
      <c r="E24" s="67" t="str">
        <f aca="false">IF(OR(C24="",D24=""),"",D24-C24)</f>
        <v/>
      </c>
      <c r="F24" s="14" t="s">
        <v>1018</v>
      </c>
    </row>
    <row r="25" customFormat="false" ht="15.75" hidden="false" customHeight="true" outlineLevel="0" collapsed="false">
      <c r="A25" s="14" t="s">
        <v>1019</v>
      </c>
      <c r="B25" s="13" t="s">
        <v>883</v>
      </c>
      <c r="C25" s="34"/>
      <c r="D25" s="34"/>
      <c r="E25" s="67" t="str">
        <f aca="false">IF(OR(C25="",D25=""),"",D25-C25)</f>
        <v/>
      </c>
      <c r="F25" s="14" t="s">
        <v>1020</v>
      </c>
    </row>
    <row r="26" customFormat="false" ht="15.75" hidden="false" customHeight="true" outlineLevel="0" collapsed="false">
      <c r="A26" s="14" t="s">
        <v>1021</v>
      </c>
      <c r="B26" s="13" t="s">
        <v>875</v>
      </c>
      <c r="C26" s="34"/>
      <c r="D26" s="34"/>
      <c r="E26" s="67" t="str">
        <f aca="false">IF(OR(C26="",D26=""),"",D26-C26)</f>
        <v/>
      </c>
      <c r="F26" s="14" t="s">
        <v>1022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3"/>
    <col collapsed="false" customWidth="true" hidden="false" outlineLevel="0" max="8" min="8" style="0" width="40"/>
  </cols>
  <sheetData>
    <row r="1" customFormat="false" ht="17.25" hidden="false" customHeight="true" outlineLevel="0" collapsed="false">
      <c r="A1" s="2" t="s">
        <v>1023</v>
      </c>
    </row>
    <row r="2" customFormat="false" ht="15" hidden="false" customHeight="true" outlineLevel="0" collapsed="false">
      <c r="A2" s="3" t="s">
        <v>1024</v>
      </c>
    </row>
    <row r="4" customFormat="false" ht="15.75" hidden="false" customHeight="true" outlineLevel="0" collapsed="false">
      <c r="A4" s="60" t="s">
        <v>1025</v>
      </c>
    </row>
    <row r="5" customFormat="false" ht="41.25" hidden="false" customHeight="true" outlineLevel="0" collapsed="false">
      <c r="A5" s="12" t="s">
        <v>1026</v>
      </c>
      <c r="B5" s="12" t="s">
        <v>1027</v>
      </c>
      <c r="C5" s="12" t="s">
        <v>1028</v>
      </c>
      <c r="D5" s="12" t="s">
        <v>1029</v>
      </c>
      <c r="E5" s="12" t="s">
        <v>1030</v>
      </c>
      <c r="F5" s="12" t="s">
        <v>1031</v>
      </c>
      <c r="G5" s="12" t="s">
        <v>1032</v>
      </c>
      <c r="H5" s="12" t="s">
        <v>89</v>
      </c>
    </row>
    <row r="6" customFormat="false" ht="15.75" hidden="false" customHeight="true" outlineLevel="0" collapsed="false">
      <c r="A6" s="34" t="n">
        <v>1</v>
      </c>
      <c r="B6" s="47" t="n">
        <v>10</v>
      </c>
      <c r="C6" s="23" t="n">
        <f aca="false">IF(OR(A6="",B6="",A6=0),"",B6/(A6*60))</f>
        <v>0.166666666666667</v>
      </c>
      <c r="D6" s="47" t="n">
        <v>44</v>
      </c>
      <c r="E6" s="46"/>
      <c r="F6" s="23" t="str">
        <f aca="false">IF(OR(A6="",E6="",A6=0),"",E6/(A6*60))</f>
        <v/>
      </c>
      <c r="G6" s="46"/>
      <c r="H6" s="18"/>
    </row>
    <row r="7" customFormat="false" ht="15.75" hidden="false" customHeight="true" outlineLevel="0" collapsed="false">
      <c r="A7" s="34" t="n">
        <v>10</v>
      </c>
      <c r="B7" s="46"/>
      <c r="C7" s="23" t="str">
        <f aca="false">IF(OR(A7="",B7="",A7=0),"",B7/(A7*60))</f>
        <v/>
      </c>
      <c r="D7" s="46"/>
      <c r="E7" s="46"/>
      <c r="F7" s="23" t="str">
        <f aca="false">IF(OR(A7="",E7="",A7=0),"",E7/(A7*60))</f>
        <v/>
      </c>
      <c r="G7" s="46"/>
      <c r="H7" s="18"/>
    </row>
    <row r="8" customFormat="false" ht="15.75" hidden="false" customHeight="true" outlineLevel="0" collapsed="false">
      <c r="A8" s="34" t="n">
        <v>60</v>
      </c>
      <c r="B8" s="46"/>
      <c r="C8" s="23" t="str">
        <f aca="false">IF(OR(A8="",B8="",A8=0),"",B8/(A8*60))</f>
        <v/>
      </c>
      <c r="D8" s="46"/>
      <c r="E8" s="46"/>
      <c r="F8" s="23" t="str">
        <f aca="false">IF(OR(A8="",E8="",A8=0),"",E8/(A8*60))</f>
        <v/>
      </c>
      <c r="G8" s="46"/>
      <c r="H8" s="18"/>
    </row>
    <row r="9" customFormat="false" ht="15.75" hidden="false" customHeight="true" outlineLevel="0" collapsed="false">
      <c r="A9" s="34" t="n">
        <v>180</v>
      </c>
      <c r="B9" s="46"/>
      <c r="C9" s="23" t="str">
        <f aca="false">IF(OR(A9="",B9="",A9=0),"",B9/(A9*60))</f>
        <v/>
      </c>
      <c r="D9" s="46"/>
      <c r="E9" s="46"/>
      <c r="F9" s="23" t="str">
        <f aca="false">IF(OR(A9="",E9="",A9=0),"",E9/(A9*60))</f>
        <v/>
      </c>
      <c r="G9" s="46"/>
      <c r="H9" s="18"/>
    </row>
    <row r="10" customFormat="false" ht="15.75" hidden="false" customHeight="true" outlineLevel="0" collapsed="false">
      <c r="A10" s="34" t="n">
        <v>480</v>
      </c>
      <c r="B10" s="46"/>
      <c r="C10" s="23" t="str">
        <f aca="false">IF(OR(A10="",B10="",A10=0),"",B10/(A10*60))</f>
        <v/>
      </c>
      <c r="D10" s="46"/>
      <c r="E10" s="46"/>
      <c r="F10" s="23" t="str">
        <f aca="false">IF(OR(A10="",E10="",A10=0),"",E10/(A10*60))</f>
        <v/>
      </c>
      <c r="G10" s="46"/>
      <c r="H10" s="18" t="s">
        <v>1033</v>
      </c>
    </row>
    <row r="11" customFormat="false" ht="15.75" hidden="false" customHeight="true" outlineLevel="0" collapsed="false"/>
    <row r="12" customFormat="false" ht="15.75" hidden="false" customHeight="true" outlineLevel="0" collapsed="false">
      <c r="A12" s="60" t="s">
        <v>1034</v>
      </c>
    </row>
    <row r="13" customFormat="false" ht="41.25" hidden="false" customHeight="true" outlineLevel="0" collapsed="false">
      <c r="A13" s="12" t="s">
        <v>1035</v>
      </c>
      <c r="B13" s="12" t="s">
        <v>1036</v>
      </c>
      <c r="C13" s="12" t="s">
        <v>1037</v>
      </c>
      <c r="D13" s="12" t="s">
        <v>1038</v>
      </c>
      <c r="E13" s="12" t="s">
        <v>1039</v>
      </c>
      <c r="F13" s="12" t="s">
        <v>1040</v>
      </c>
      <c r="G13" s="12" t="s">
        <v>1041</v>
      </c>
      <c r="H13" s="12" t="s">
        <v>89</v>
      </c>
    </row>
    <row r="14" customFormat="false" ht="15.75" hidden="false" customHeight="true" outlineLevel="0" collapsed="false">
      <c r="A14" s="49" t="n">
        <v>0</v>
      </c>
      <c r="B14" s="44" t="n">
        <v>40</v>
      </c>
      <c r="C14" s="37"/>
      <c r="D14" s="34"/>
      <c r="E14" s="43"/>
      <c r="F14" s="37"/>
      <c r="G14" s="34"/>
      <c r="H14" s="14" t="s">
        <v>1042</v>
      </c>
    </row>
    <row r="15" customFormat="false" ht="15.75" hidden="false" customHeight="true" outlineLevel="0" collapsed="false">
      <c r="A15" s="49" t="n">
        <v>1</v>
      </c>
      <c r="B15" s="43"/>
      <c r="C15" s="37"/>
      <c r="D15" s="34"/>
      <c r="E15" s="43"/>
      <c r="F15" s="37"/>
      <c r="G15" s="34"/>
      <c r="H15" s="18"/>
    </row>
    <row r="16" customFormat="false" ht="15.75" hidden="false" customHeight="true" outlineLevel="0" collapsed="false">
      <c r="A16" s="49" t="n">
        <v>10</v>
      </c>
      <c r="B16" s="43"/>
      <c r="C16" s="37"/>
      <c r="D16" s="34"/>
      <c r="E16" s="43"/>
      <c r="F16" s="37"/>
      <c r="G16" s="34"/>
      <c r="H16" s="18"/>
    </row>
    <row r="17" customFormat="false" ht="15.75" hidden="false" customHeight="true" outlineLevel="0" collapsed="false">
      <c r="A17" s="49" t="n">
        <v>100</v>
      </c>
      <c r="B17" s="43"/>
      <c r="C17" s="37"/>
      <c r="D17" s="34"/>
      <c r="E17" s="43"/>
      <c r="F17" s="37"/>
      <c r="G17" s="34"/>
      <c r="H17" s="18"/>
    </row>
    <row r="18" customFormat="false" ht="15.75" hidden="false" customHeight="true" outlineLevel="0" collapsed="false">
      <c r="A18" s="49" t="n">
        <v>1000</v>
      </c>
      <c r="B18" s="43"/>
      <c r="C18" s="37"/>
      <c r="D18" s="34"/>
      <c r="E18" s="43"/>
      <c r="F18" s="37"/>
      <c r="G18" s="34"/>
      <c r="H18" s="18"/>
    </row>
    <row r="19" customFormat="false" ht="15.75" hidden="false" customHeight="true" outlineLevel="0" collapsed="false"/>
    <row r="20" customFormat="false" ht="15.75" hidden="false" customHeight="true" outlineLevel="0" collapsed="false">
      <c r="A20" s="60" t="s">
        <v>1043</v>
      </c>
    </row>
    <row r="21" customFormat="false" ht="28.5" hidden="false" customHeight="true" outlineLevel="0" collapsed="false">
      <c r="A21" s="12" t="s">
        <v>944</v>
      </c>
      <c r="B21" s="12" t="s">
        <v>259</v>
      </c>
      <c r="C21" s="12" t="s">
        <v>261</v>
      </c>
      <c r="D21" s="12" t="s">
        <v>262</v>
      </c>
      <c r="E21" s="12" t="s">
        <v>841</v>
      </c>
      <c r="F21" s="12" t="s">
        <v>1044</v>
      </c>
      <c r="G21" s="12" t="s">
        <v>1045</v>
      </c>
      <c r="H21" s="12" t="s">
        <v>89</v>
      </c>
    </row>
    <row r="22" customFormat="false" ht="41.25" hidden="false" customHeight="true" outlineLevel="0" collapsed="false">
      <c r="A22" s="14" t="s">
        <v>329</v>
      </c>
      <c r="B22" s="13" t="s">
        <v>330</v>
      </c>
      <c r="C22" s="36" t="str">
        <f aca="false">IF(COUNT(D6:D10)&lt;2,"",(INDEX(D6:D10,COUNT(D6:D10))-D6)/(INDEX(A6:A10,COUNT(D6:D10))-A6))</f>
        <v/>
      </c>
      <c r="D22" s="36" t="str">
        <f aca="false">IF(COUNT(G6:G10)&lt;2,"",(INDEX(G6:G10,COUNT(G6:G10))-G6)/(INDEX(A6:A10,COUNT(G6:G10))-A6))</f>
        <v/>
      </c>
      <c r="E22" s="38" t="n">
        <v>4</v>
      </c>
      <c r="F22" s="13" t="str">
        <f aca="false">IF(OR(C22="",E22=""),"",IF(C22&lt;=E22,"Đạt","Không đạt"))</f>
        <v/>
      </c>
      <c r="G22" s="13" t="str">
        <f aca="false">IF(OR(D22="",E22=""),"",IF(D22&lt;=E22,"Đạt","Không đạt"))</f>
        <v/>
      </c>
      <c r="H22" s="14" t="s">
        <v>1046</v>
      </c>
    </row>
    <row r="23" customFormat="false" ht="15.75" hidden="false" customHeight="true" outlineLevel="0" collapsed="false">
      <c r="A23" s="14" t="s">
        <v>326</v>
      </c>
      <c r="B23" s="13" t="s">
        <v>327</v>
      </c>
      <c r="C23" s="45" t="str">
        <f aca="false">IFERROR(IF(INDEX(D6:D10,MATCH(60,A6:A10,0))="","",INDEX(D6:D10,MATCH(60,A6:A10,0))),"")</f>
        <v/>
      </c>
      <c r="D23" s="45" t="str">
        <f aca="false">IFERROR(IF(INDEX(G6:G10,MATCH(60,A6:A10,0))="","",INDEX(G6:G10,MATCH(60,A6:A10,0))),"")</f>
        <v/>
      </c>
      <c r="E23" s="46"/>
      <c r="F23" s="13" t="str">
        <f aca="false">IF(OR(C23="",E23=""),"",IF(C23&lt;=E23,"Đạt","Không đạt"))</f>
        <v/>
      </c>
      <c r="G23" s="13" t="str">
        <f aca="false">IF(OR(D23="",E23=""),"",IF(D23&lt;=E23,"Đạt","Không đạt"))</f>
        <v/>
      </c>
      <c r="H23" s="14" t="s">
        <v>1047</v>
      </c>
    </row>
    <row r="24" customFormat="false" ht="15.75" hidden="false" customHeight="true" outlineLevel="0" collapsed="false">
      <c r="A24" s="14" t="s">
        <v>1048</v>
      </c>
      <c r="B24" s="13" t="s">
        <v>952</v>
      </c>
      <c r="C24" s="36" t="str">
        <f aca="false">IF(COUNT(C6:C10)&lt;2,"",IFERROR(INDEX(C6:C10,COUNT(C6:C10))/C6,""))</f>
        <v/>
      </c>
      <c r="D24" s="36" t="str">
        <f aca="false">IF(COUNT(F6:F10)&lt;2,"",IFERROR(INDEX(F6:F10,COUNT(F6:F10))/F6,""))</f>
        <v/>
      </c>
      <c r="E24" s="38" t="n">
        <v>1.1</v>
      </c>
      <c r="F24" s="13" t="str">
        <f aca="false">IF(OR(C24="",E24=""),"",IF(C24&lt;=E24,"Đạt","Không đạt"))</f>
        <v/>
      </c>
      <c r="G24" s="13" t="str">
        <f aca="false">IF(OR(D24="",E24=""),"",IF(D24&lt;=E24,"Đạt","Không đạt"))</f>
        <v/>
      </c>
      <c r="H24" s="14" t="s">
        <v>1049</v>
      </c>
    </row>
    <row r="25" customFormat="false" ht="28.5" hidden="false" customHeight="true" outlineLevel="0" collapsed="false">
      <c r="A25" s="14" t="s">
        <v>1050</v>
      </c>
      <c r="B25" s="13" t="s">
        <v>327</v>
      </c>
      <c r="C25" s="36" t="str">
        <f aca="false">IF(COUNT(B14:B18)&lt;3,"",(INDEX(B14:B18,COUNT(B14:B18))-B15)/(INDEX(A14:A18,COUNT(B14:B18))-A15)*100)</f>
        <v/>
      </c>
      <c r="D25" s="36" t="str">
        <f aca="false">IF(COUNT(E14:E18)&lt;3,"",(INDEX(E14:E18,COUNT(E14:E18))-E15)/(INDEX(A14:A18,COUNT(E14:E18))-A15)*100)</f>
        <v/>
      </c>
      <c r="E25" s="38" t="n">
        <v>1</v>
      </c>
      <c r="F25" s="13" t="str">
        <f aca="false">IF(OR(C25="",E25=""),"",IF(C25&lt;=E25,"Đạt","Không đạt"))</f>
        <v/>
      </c>
      <c r="G25" s="13" t="str">
        <f aca="false">IF(OR(D25="",E25=""),"",IF(D25&lt;=E25,"Đạt","Không đạt"))</f>
        <v/>
      </c>
      <c r="H25" s="14" t="s">
        <v>1051</v>
      </c>
    </row>
    <row r="26" customFormat="false" ht="15.75" hidden="false" customHeight="true" outlineLevel="0" collapsed="false">
      <c r="A26" s="14" t="s">
        <v>1052</v>
      </c>
      <c r="B26" s="13" t="s">
        <v>883</v>
      </c>
      <c r="C26" s="33" t="str">
        <f aca="false">IF(COUNT(D14:D18)=0,"",INDEX(D14:D18,COUNT(D14:D18)))</f>
        <v/>
      </c>
      <c r="D26" s="33" t="str">
        <f aca="false">IF(COUNT(G14:G18)=0,"",INDEX(G14:G18,COUNT(G14:G18)))</f>
        <v/>
      </c>
      <c r="E26" s="35" t="n">
        <v>0</v>
      </c>
      <c r="F26" s="13" t="str">
        <f aca="false">IF(OR(C26="",E26=""),"",IF(C26&lt;=E26,"Đạt","Không đạt"))</f>
        <v/>
      </c>
      <c r="G26" s="13" t="str">
        <f aca="false">IF(OR(D26="",E26=""),"",IF(D26&lt;=E26,"Đạt","Không đạt"))</f>
        <v/>
      </c>
      <c r="H26" s="14"/>
    </row>
    <row r="27" customFormat="false" ht="15.75" hidden="false" customHeight="true" outlineLevel="0" collapsed="false"/>
    <row r="28" customFormat="false" ht="15.75" hidden="false" customHeight="true" outlineLevel="0" collapsed="false">
      <c r="A28" s="60" t="s">
        <v>1053</v>
      </c>
    </row>
    <row r="29" customFormat="false" ht="41.25" hidden="false" customHeight="true" outlineLevel="0" collapsed="false">
      <c r="A29" s="12" t="s">
        <v>1054</v>
      </c>
      <c r="B29" s="12" t="s">
        <v>1055</v>
      </c>
      <c r="C29" s="12" t="s">
        <v>1056</v>
      </c>
      <c r="D29" s="12" t="s">
        <v>1057</v>
      </c>
      <c r="E29" s="12" t="s">
        <v>1058</v>
      </c>
      <c r="F29" s="12" t="s">
        <v>1059</v>
      </c>
      <c r="G29" s="12" t="s">
        <v>1060</v>
      </c>
      <c r="H29" s="12" t="s">
        <v>1061</v>
      </c>
    </row>
    <row r="30" customFormat="false" ht="15.75" hidden="false" customHeight="true" outlineLevel="0" collapsed="false">
      <c r="A30" s="14" t="s">
        <v>1062</v>
      </c>
      <c r="B30" s="44" t="n">
        <v>2</v>
      </c>
      <c r="C30" s="35" t="n">
        <v>3</v>
      </c>
      <c r="D30" s="36" t="n">
        <f aca="false">IF(OR(B30="",C30="",B30=0),"",C30/B30)</f>
        <v>1.5</v>
      </c>
      <c r="E30" s="34"/>
      <c r="F30" s="36" t="str">
        <f aca="false">IF(OR(B30="",E30="",B30=0),"",E30/B30)</f>
        <v/>
      </c>
      <c r="G30" s="44" t="n">
        <v>4.5</v>
      </c>
      <c r="H30" s="39" t="n">
        <f aca="false">IF(OR(B30="",G30="",B30=0),"",G30/(B30*3600))</f>
        <v>0.000625</v>
      </c>
    </row>
    <row r="31" customFormat="false" ht="15.75" hidden="false" customHeight="true" outlineLevel="0" collapsed="false">
      <c r="A31" s="14" t="s">
        <v>1063</v>
      </c>
      <c r="B31" s="43"/>
      <c r="C31" s="34"/>
      <c r="D31" s="36" t="str">
        <f aca="false">IF(OR(B31="",C31="",B31=0),"",C31/B31)</f>
        <v/>
      </c>
      <c r="E31" s="34"/>
      <c r="F31" s="36" t="str">
        <f aca="false">IF(OR(B31="",E31="",B31=0),"",E31/B31)</f>
        <v/>
      </c>
      <c r="G31" s="43"/>
      <c r="H31" s="39" t="str">
        <f aca="false">IF(OR(B31="",G31="",B31=0),"",G31/(B31*3600))</f>
        <v/>
      </c>
    </row>
    <row r="32" customFormat="false" ht="15.75" hidden="false" customHeight="true" outlineLevel="0" collapsed="false">
      <c r="A32" s="14" t="s">
        <v>1064</v>
      </c>
      <c r="B32" s="43"/>
      <c r="C32" s="34"/>
      <c r="D32" s="36" t="str">
        <f aca="false">IF(OR(B32="",C32="",B32=0),"",C32/B32)</f>
        <v/>
      </c>
      <c r="E32" s="34"/>
      <c r="F32" s="36" t="str">
        <f aca="false">IF(OR(B32="",E32="",B32=0),"",E32/B32)</f>
        <v/>
      </c>
      <c r="G32" s="43"/>
      <c r="H32" s="39" t="str">
        <f aca="false">IF(OR(B32="",G32="",B32=0),"",G32/(B32*3600))</f>
        <v/>
      </c>
    </row>
    <row r="33" customFormat="false" ht="15.75" hidden="false" customHeight="true" outlineLevel="0" collapsed="false">
      <c r="A33" s="14" t="s">
        <v>1065</v>
      </c>
      <c r="B33" s="43"/>
      <c r="C33" s="34"/>
      <c r="D33" s="36" t="str">
        <f aca="false">IF(OR(B33="",C33="",B33=0),"",C33/B33)</f>
        <v/>
      </c>
      <c r="E33" s="34"/>
      <c r="F33" s="36" t="str">
        <f aca="false">IF(OR(B33="",E33="",B33=0),"",E33/B33)</f>
        <v/>
      </c>
      <c r="G33" s="43"/>
      <c r="H33" s="39" t="str">
        <f aca="false">IF(OR(B33="",G33="",B33=0),"",G33/(B33*3600))</f>
        <v/>
      </c>
    </row>
    <row r="34" customFormat="false" ht="15.75" hidden="false" customHeight="true" outlineLevel="0" collapsed="false">
      <c r="A34" s="14" t="s">
        <v>1066</v>
      </c>
      <c r="B34" s="43"/>
      <c r="C34" s="34"/>
      <c r="D34" s="36" t="str">
        <f aca="false">IF(OR(B34="",C34="",B34=0),"",C34/B34)</f>
        <v/>
      </c>
      <c r="E34" s="34"/>
      <c r="F34" s="36" t="str">
        <f aca="false">IF(OR(B34="",E34="",B34=0),"",E34/B34)</f>
        <v/>
      </c>
      <c r="G34" s="43"/>
      <c r="H34" s="39" t="str">
        <f aca="false">IF(OR(B34="",G34="",B34=0),"",G34/(B34*3600))</f>
        <v/>
      </c>
    </row>
    <row r="35" customFormat="false" ht="15.75" hidden="false" customHeight="true" outlineLevel="0" collapsed="false">
      <c r="A35" s="14" t="s">
        <v>1067</v>
      </c>
      <c r="B35" s="43"/>
      <c r="C35" s="34"/>
      <c r="D35" s="36" t="str">
        <f aca="false">IF(OR(B35="",C35="",B35=0),"",C35/B35)</f>
        <v/>
      </c>
      <c r="E35" s="34"/>
      <c r="F35" s="36" t="str">
        <f aca="false">IF(OR(B35="",E35="",B35=0),"",E35/B35)</f>
        <v/>
      </c>
      <c r="G35" s="43"/>
      <c r="H35" s="39" t="str">
        <f aca="false">IF(OR(B35="",G35="",B35=0),"",G35/(B35*3600))</f>
        <v/>
      </c>
    </row>
    <row r="36" customFormat="false" ht="15.75" hidden="false" customHeight="true" outlineLevel="0" collapsed="false">
      <c r="A36" s="14" t="s">
        <v>1068</v>
      </c>
      <c r="B36" s="43"/>
      <c r="C36" s="34"/>
      <c r="D36" s="36" t="str">
        <f aca="false">IF(OR(B36="",C36="",B36=0),"",C36/B36)</f>
        <v/>
      </c>
      <c r="E36" s="34"/>
      <c r="F36" s="36" t="str">
        <f aca="false">IF(OR(B36="",E36="",B36=0),"",E36/B36)</f>
        <v/>
      </c>
      <c r="G36" s="43"/>
      <c r="H36" s="39" t="str">
        <f aca="false">IF(OR(B36="",G36="",B36=0),"",G36/(B36*3600))</f>
        <v/>
      </c>
    </row>
    <row r="37" customFormat="false" ht="15.75" hidden="false" customHeight="true" outlineLevel="0" collapsed="false">
      <c r="A37" s="19" t="s">
        <v>255</v>
      </c>
      <c r="B37" s="68" t="n">
        <f aca="false">SUM(B30:B36)</f>
        <v>2</v>
      </c>
      <c r="C37" s="69" t="n">
        <f aca="false">IF(COUNT(C30:C36)=0,"",SUM(C30:C36))</f>
        <v>3</v>
      </c>
      <c r="D37" s="70" t="n">
        <f aca="false">IF(OR(C37="",B37=0),"",C37/B37)</f>
        <v>1.5</v>
      </c>
      <c r="E37" s="69" t="str">
        <f aca="false">IF(COUNT(E30:E36)=0,"",SUM(E30:E36))</f>
        <v/>
      </c>
      <c r="F37" s="70" t="str">
        <f aca="false">IF(OR(E37="",B37=0),"",E37/B37)</f>
        <v/>
      </c>
      <c r="G37" s="68" t="n">
        <f aca="false">IF(COUNT(G30:G36)=0,"",SUM(G30:G36))</f>
        <v>4.5</v>
      </c>
      <c r="H37" s="71" t="n">
        <f aca="false">IF(OR(G37="",B37=0),"",G37/(B37*3600))</f>
        <v>0.000625</v>
      </c>
    </row>
    <row r="38" customFormat="false" ht="15" hidden="false" customHeight="false" outlineLevel="0" collapsed="false">
      <c r="A38" s="52" t="s">
        <v>1069</v>
      </c>
    </row>
  </sheetData>
  <conditionalFormatting sqref="F22:G26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10" min="8" style="0" width="10"/>
    <col collapsed="false" customWidth="true" hidden="false" outlineLevel="0" max="11" min="11" style="0" width="12"/>
    <col collapsed="false" customWidth="true" hidden="false" outlineLevel="0" max="12" min="12" style="0" width="36"/>
  </cols>
  <sheetData>
    <row r="1" customFormat="false" ht="17.25" hidden="false" customHeight="true" outlineLevel="0" collapsed="false">
      <c r="A1" s="2" t="s">
        <v>1070</v>
      </c>
    </row>
    <row r="2" customFormat="false" ht="15" hidden="false" customHeight="true" outlineLevel="0" collapsed="false">
      <c r="A2" s="3" t="s">
        <v>1071</v>
      </c>
    </row>
    <row r="4" customFormat="false" ht="41.25" hidden="false" customHeight="true" outlineLevel="0" collapsed="false">
      <c r="A4" s="12" t="s">
        <v>75</v>
      </c>
      <c r="B4" s="12" t="s">
        <v>1072</v>
      </c>
      <c r="C4" s="12" t="s">
        <v>1073</v>
      </c>
      <c r="D4" s="12" t="s">
        <v>1074</v>
      </c>
      <c r="E4" s="12" t="s">
        <v>1004</v>
      </c>
      <c r="F4" s="12" t="s">
        <v>1075</v>
      </c>
      <c r="G4" s="12" t="s">
        <v>1076</v>
      </c>
      <c r="H4" s="12" t="s">
        <v>1077</v>
      </c>
      <c r="I4" s="12" t="s">
        <v>1006</v>
      </c>
      <c r="J4" s="12" t="s">
        <v>1078</v>
      </c>
      <c r="K4" s="12" t="s">
        <v>1079</v>
      </c>
      <c r="L4" s="12" t="s">
        <v>89</v>
      </c>
    </row>
    <row r="5" customFormat="false" ht="15.75" hidden="false" customHeight="true" outlineLevel="0" collapsed="false">
      <c r="A5" s="13" t="s">
        <v>1080</v>
      </c>
      <c r="B5" s="14" t="s">
        <v>1081</v>
      </c>
      <c r="C5" s="13" t="s">
        <v>96</v>
      </c>
      <c r="D5" s="26" t="n">
        <v>0.936</v>
      </c>
      <c r="E5" s="29" t="n">
        <v>0.075</v>
      </c>
      <c r="F5" s="29" t="n">
        <v>0.03</v>
      </c>
      <c r="G5" s="72" t="n">
        <f aca="false">IF(OR(D5="",$D$5=""),"",$D$5-D5)</f>
        <v>0</v>
      </c>
      <c r="H5" s="24"/>
      <c r="I5" s="28"/>
      <c r="J5" s="28"/>
      <c r="K5" s="72" t="str">
        <f aca="false">IF(OR(D5="",H5=""),"",H5-D5)</f>
        <v/>
      </c>
      <c r="L5" s="14"/>
    </row>
    <row r="6" customFormat="false" ht="15.75" hidden="false" customHeight="true" outlineLevel="0" collapsed="false">
      <c r="A6" s="13" t="s">
        <v>1082</v>
      </c>
      <c r="B6" s="14" t="s">
        <v>1083</v>
      </c>
      <c r="C6" s="13" t="s">
        <v>1084</v>
      </c>
      <c r="D6" s="24"/>
      <c r="E6" s="28"/>
      <c r="F6" s="28"/>
      <c r="G6" s="72" t="str">
        <f aca="false">IF(OR(D6="",$D$5=""),"",$D$5-D6)</f>
        <v/>
      </c>
      <c r="H6" s="24"/>
      <c r="I6" s="28"/>
      <c r="J6" s="28"/>
      <c r="K6" s="72" t="str">
        <f aca="false">IF(OR(D6="",H6=""),"",H6-D6)</f>
        <v/>
      </c>
      <c r="L6" s="14"/>
    </row>
    <row r="7" customFormat="false" ht="15.75" hidden="false" customHeight="true" outlineLevel="0" collapsed="false">
      <c r="A7" s="13" t="s">
        <v>1082</v>
      </c>
      <c r="B7" s="14" t="s">
        <v>1083</v>
      </c>
      <c r="C7" s="13" t="s">
        <v>1085</v>
      </c>
      <c r="D7" s="24"/>
      <c r="E7" s="28"/>
      <c r="F7" s="28"/>
      <c r="G7" s="72" t="str">
        <f aca="false">IF(OR(D7="",$D$5=""),"",$D$5-D7)</f>
        <v/>
      </c>
      <c r="H7" s="24"/>
      <c r="I7" s="28"/>
      <c r="J7" s="28"/>
      <c r="K7" s="72" t="str">
        <f aca="false">IF(OR(D7="",H7=""),"",H7-D7)</f>
        <v/>
      </c>
      <c r="L7" s="14"/>
    </row>
    <row r="8" customFormat="false" ht="15.75" hidden="false" customHeight="true" outlineLevel="0" collapsed="false">
      <c r="A8" s="13" t="s">
        <v>1082</v>
      </c>
      <c r="B8" s="14" t="s">
        <v>1083</v>
      </c>
      <c r="C8" s="13" t="s">
        <v>1086</v>
      </c>
      <c r="D8" s="24"/>
      <c r="E8" s="28"/>
      <c r="F8" s="28"/>
      <c r="G8" s="72" t="str">
        <f aca="false">IF(OR(D8="",$D$5=""),"",$D$5-D8)</f>
        <v/>
      </c>
      <c r="H8" s="24"/>
      <c r="I8" s="28"/>
      <c r="J8" s="28"/>
      <c r="K8" s="72" t="str">
        <f aca="false">IF(OR(D8="",H8=""),"",H8-D8)</f>
        <v/>
      </c>
      <c r="L8" s="14"/>
    </row>
    <row r="9" customFormat="false" ht="15.75" hidden="false" customHeight="true" outlineLevel="0" collapsed="false">
      <c r="A9" s="13" t="s">
        <v>1082</v>
      </c>
      <c r="B9" s="14" t="s">
        <v>1087</v>
      </c>
      <c r="C9" s="13" t="s">
        <v>1088</v>
      </c>
      <c r="D9" s="24"/>
      <c r="E9" s="28"/>
      <c r="F9" s="28"/>
      <c r="G9" s="72" t="str">
        <f aca="false">IF(OR(D9="",$D$5=""),"",$D$5-D9)</f>
        <v/>
      </c>
      <c r="H9" s="24"/>
      <c r="I9" s="28"/>
      <c r="J9" s="28"/>
      <c r="K9" s="72" t="str">
        <f aca="false">IF(OR(D9="",H9=""),"",H9-D9)</f>
        <v/>
      </c>
      <c r="L9" s="14"/>
    </row>
    <row r="10" customFormat="false" ht="15.75" hidden="false" customHeight="true" outlineLevel="0" collapsed="false">
      <c r="A10" s="13" t="s">
        <v>1082</v>
      </c>
      <c r="B10" s="14" t="s">
        <v>1089</v>
      </c>
      <c r="C10" s="13" t="s">
        <v>1090</v>
      </c>
      <c r="D10" s="24"/>
      <c r="E10" s="28"/>
      <c r="F10" s="28"/>
      <c r="G10" s="72" t="str">
        <f aca="false">IF(OR(D10="",$D$5=""),"",$D$5-D10)</f>
        <v/>
      </c>
      <c r="H10" s="24"/>
      <c r="I10" s="28"/>
      <c r="J10" s="28"/>
      <c r="K10" s="72" t="str">
        <f aca="false">IF(OR(D10="",H10=""),"",H10-D10)</f>
        <v/>
      </c>
      <c r="L10" s="14"/>
    </row>
    <row r="11" customFormat="false" ht="15.75" hidden="false" customHeight="true" outlineLevel="0" collapsed="false">
      <c r="A11" s="13" t="s">
        <v>1091</v>
      </c>
      <c r="B11" s="14" t="s">
        <v>1092</v>
      </c>
      <c r="C11" s="13" t="s">
        <v>1093</v>
      </c>
      <c r="D11" s="24"/>
      <c r="E11" s="28"/>
      <c r="F11" s="28"/>
      <c r="G11" s="72" t="str">
        <f aca="false">IF(OR(D11="",$D$5=""),"",$D$5-D11)</f>
        <v/>
      </c>
      <c r="H11" s="24"/>
      <c r="I11" s="28"/>
      <c r="J11" s="28"/>
      <c r="K11" s="72" t="str">
        <f aca="false">IF(OR(D11="",H11=""),"",H11-D11)</f>
        <v/>
      </c>
      <c r="L11" s="14"/>
    </row>
    <row r="12" customFormat="false" ht="15.75" hidden="false" customHeight="true" outlineLevel="0" collapsed="false">
      <c r="A12" s="13" t="s">
        <v>1091</v>
      </c>
      <c r="B12" s="14" t="s">
        <v>1092</v>
      </c>
      <c r="C12" s="13" t="s">
        <v>1094</v>
      </c>
      <c r="D12" s="24"/>
      <c r="E12" s="28"/>
      <c r="F12" s="28"/>
      <c r="G12" s="72" t="str">
        <f aca="false">IF(OR(D12="",$D$5=""),"",$D$5-D12)</f>
        <v/>
      </c>
      <c r="H12" s="24"/>
      <c r="I12" s="28"/>
      <c r="J12" s="28"/>
      <c r="K12" s="72" t="str">
        <f aca="false">IF(OR(D12="",H12=""),"",H12-D12)</f>
        <v/>
      </c>
      <c r="L12" s="14"/>
    </row>
    <row r="13" customFormat="false" ht="15.75" hidden="false" customHeight="true" outlineLevel="0" collapsed="false">
      <c r="A13" s="13" t="s">
        <v>1091</v>
      </c>
      <c r="B13" s="14" t="s">
        <v>1092</v>
      </c>
      <c r="C13" s="13" t="s">
        <v>1095</v>
      </c>
      <c r="D13" s="24"/>
      <c r="E13" s="28"/>
      <c r="F13" s="28"/>
      <c r="G13" s="72" t="str">
        <f aca="false">IF(OR(D13="",$D$5=""),"",$D$5-D13)</f>
        <v/>
      </c>
      <c r="H13" s="24"/>
      <c r="I13" s="28"/>
      <c r="J13" s="28"/>
      <c r="K13" s="72" t="str">
        <f aca="false">IF(OR(D13="",H13=""),"",H13-D13)</f>
        <v/>
      </c>
      <c r="L13" s="14"/>
    </row>
    <row r="14" customFormat="false" ht="15.75" hidden="false" customHeight="true" outlineLevel="0" collapsed="false">
      <c r="A14" s="13" t="s">
        <v>1091</v>
      </c>
      <c r="B14" s="14" t="s">
        <v>1092</v>
      </c>
      <c r="C14" s="13" t="s">
        <v>1096</v>
      </c>
      <c r="D14" s="24"/>
      <c r="E14" s="28"/>
      <c r="F14" s="28"/>
      <c r="G14" s="72" t="str">
        <f aca="false">IF(OR(D14="",$D$5=""),"",$D$5-D14)</f>
        <v/>
      </c>
      <c r="H14" s="24"/>
      <c r="I14" s="28"/>
      <c r="J14" s="28"/>
      <c r="K14" s="72" t="str">
        <f aca="false">IF(OR(D14="",H14=""),"",H14-D14)</f>
        <v/>
      </c>
      <c r="L14" s="14"/>
    </row>
    <row r="15" customFormat="false" ht="15.75" hidden="false" customHeight="true" outlineLevel="0" collapsed="false">
      <c r="A15" s="13" t="s">
        <v>1097</v>
      </c>
      <c r="B15" s="14" t="s">
        <v>1098</v>
      </c>
      <c r="C15" s="13" t="s">
        <v>1099</v>
      </c>
      <c r="D15" s="24"/>
      <c r="E15" s="28"/>
      <c r="F15" s="28"/>
      <c r="G15" s="72" t="str">
        <f aca="false">IF(OR(D15="",$D$5=""),"",$D$5-D15)</f>
        <v/>
      </c>
      <c r="H15" s="24"/>
      <c r="I15" s="28"/>
      <c r="J15" s="28"/>
      <c r="K15" s="72" t="str">
        <f aca="false">IF(OR(D15="",H15=""),"",H15-D15)</f>
        <v/>
      </c>
      <c r="L15" s="14"/>
    </row>
    <row r="16" customFormat="false" ht="15.75" hidden="false" customHeight="true" outlineLevel="0" collapsed="false">
      <c r="A16" s="13" t="s">
        <v>1097</v>
      </c>
      <c r="B16" s="14" t="s">
        <v>1098</v>
      </c>
      <c r="C16" s="13" t="s">
        <v>1100</v>
      </c>
      <c r="D16" s="24"/>
      <c r="E16" s="28"/>
      <c r="F16" s="28"/>
      <c r="G16" s="72" t="str">
        <f aca="false">IF(OR(D16="",$D$5=""),"",$D$5-D16)</f>
        <v/>
      </c>
      <c r="H16" s="24"/>
      <c r="I16" s="28"/>
      <c r="J16" s="28"/>
      <c r="K16" s="72" t="str">
        <f aca="false">IF(OR(D16="",H16=""),"",H16-D16)</f>
        <v/>
      </c>
      <c r="L16" s="14"/>
    </row>
    <row r="17" customFormat="false" ht="15.75" hidden="false" customHeight="true" outlineLevel="0" collapsed="false">
      <c r="A17" s="13" t="s">
        <v>1097</v>
      </c>
      <c r="B17" s="14" t="s">
        <v>1101</v>
      </c>
      <c r="C17" s="13" t="s">
        <v>1102</v>
      </c>
      <c r="D17" s="24"/>
      <c r="E17" s="28"/>
      <c r="F17" s="28"/>
      <c r="G17" s="72" t="str">
        <f aca="false">IF(OR(D17="",$D$5=""),"",$D$5-D17)</f>
        <v/>
      </c>
      <c r="H17" s="24"/>
      <c r="I17" s="28"/>
      <c r="J17" s="28"/>
      <c r="K17" s="72" t="str">
        <f aca="false">IF(OR(D17="",H17=""),"",H17-D17)</f>
        <v/>
      </c>
      <c r="L17" s="14"/>
    </row>
    <row r="18" customFormat="false" ht="28.5" hidden="false" customHeight="true" outlineLevel="0" collapsed="false">
      <c r="A18" s="13" t="s">
        <v>1103</v>
      </c>
      <c r="B18" s="14" t="s">
        <v>1104</v>
      </c>
      <c r="C18" s="13" t="s">
        <v>1105</v>
      </c>
      <c r="D18" s="24"/>
      <c r="E18" s="28"/>
      <c r="F18" s="28"/>
      <c r="G18" s="72" t="str">
        <f aca="false">IF(OR(D18="",$D$5=""),"",$D$5-D18)</f>
        <v/>
      </c>
      <c r="H18" s="24"/>
      <c r="I18" s="28"/>
      <c r="J18" s="28"/>
      <c r="K18" s="72" t="str">
        <f aca="false">IF(OR(D18="",H18=""),"",H18-D18)</f>
        <v/>
      </c>
      <c r="L18" s="14"/>
    </row>
    <row r="19" customFormat="false" ht="15.75" hidden="false" customHeight="true" outlineLevel="0" collapsed="false">
      <c r="A19" s="13" t="s">
        <v>1103</v>
      </c>
      <c r="B19" s="14" t="s">
        <v>1106</v>
      </c>
      <c r="C19" s="13" t="s">
        <v>1107</v>
      </c>
      <c r="D19" s="24"/>
      <c r="E19" s="28"/>
      <c r="F19" s="28"/>
      <c r="G19" s="72" t="str">
        <f aca="false">IF(OR(D19="",$D$5=""),"",$D$5-D19)</f>
        <v/>
      </c>
      <c r="H19" s="24"/>
      <c r="I19" s="28"/>
      <c r="J19" s="28"/>
      <c r="K19" s="72" t="str">
        <f aca="false">IF(OR(D19="",H19=""),"",H19-D19)</f>
        <v/>
      </c>
      <c r="L19" s="14"/>
    </row>
    <row r="20" customFormat="false" ht="15.75" hidden="false" customHeight="true" outlineLevel="0" collapsed="false">
      <c r="A20" s="13" t="s">
        <v>1103</v>
      </c>
      <c r="B20" s="14" t="s">
        <v>1106</v>
      </c>
      <c r="C20" s="13" t="s">
        <v>1108</v>
      </c>
      <c r="D20" s="24"/>
      <c r="E20" s="28"/>
      <c r="F20" s="28"/>
      <c r="G20" s="72" t="str">
        <f aca="false">IF(OR(D20="",$D$5=""),"",$D$5-D20)</f>
        <v/>
      </c>
      <c r="H20" s="24"/>
      <c r="I20" s="28"/>
      <c r="J20" s="28"/>
      <c r="K20" s="72" t="str">
        <f aca="false">IF(OR(D20="",H20=""),"",H20-D20)</f>
        <v/>
      </c>
      <c r="L20" s="14"/>
    </row>
    <row r="21" customFormat="false" ht="15.75" hidden="false" customHeight="true" outlineLevel="0" collapsed="false">
      <c r="A21" s="13" t="s">
        <v>1103</v>
      </c>
      <c r="B21" s="14" t="s">
        <v>1106</v>
      </c>
      <c r="C21" s="13" t="s">
        <v>1109</v>
      </c>
      <c r="D21" s="24"/>
      <c r="E21" s="28"/>
      <c r="F21" s="28"/>
      <c r="G21" s="72" t="str">
        <f aca="false">IF(OR(D21="",$D$5=""),"",$D$5-D21)</f>
        <v/>
      </c>
      <c r="H21" s="24"/>
      <c r="I21" s="28"/>
      <c r="J21" s="28"/>
      <c r="K21" s="72" t="str">
        <f aca="false">IF(OR(D21="",H21=""),"",H21-D21)</f>
        <v/>
      </c>
      <c r="L21" s="14"/>
    </row>
    <row r="22" customFormat="false" ht="15.75" hidden="false" customHeight="true" outlineLevel="0" collapsed="false">
      <c r="A22" s="13" t="s">
        <v>1110</v>
      </c>
      <c r="B22" s="14" t="s">
        <v>1111</v>
      </c>
      <c r="C22" s="13" t="s">
        <v>96</v>
      </c>
      <c r="D22" s="24"/>
      <c r="E22" s="28"/>
      <c r="F22" s="28"/>
      <c r="G22" s="72" t="str">
        <f aca="false">IF(OR(D22="",$D$5=""),"",$D$5-D22)</f>
        <v/>
      </c>
      <c r="H22" s="24"/>
      <c r="I22" s="28"/>
      <c r="J22" s="28"/>
      <c r="K22" s="72" t="str">
        <f aca="false">IF(OR(D22="",H22=""),"",H22-D22)</f>
        <v/>
      </c>
      <c r="L22" s="14" t="s">
        <v>1112</v>
      </c>
    </row>
    <row r="23" customFormat="false" ht="15.75" hidden="false" customHeight="true" outlineLevel="0" collapsed="false">
      <c r="A23" s="13" t="s">
        <v>1110</v>
      </c>
      <c r="B23" s="14" t="s">
        <v>1113</v>
      </c>
      <c r="C23" s="13" t="s">
        <v>1114</v>
      </c>
      <c r="D23" s="24"/>
      <c r="E23" s="28"/>
      <c r="F23" s="28"/>
      <c r="G23" s="72" t="str">
        <f aca="false">IF(OR(D23="",$D$5=""),"",$D$5-D23)</f>
        <v/>
      </c>
      <c r="H23" s="24"/>
      <c r="I23" s="28"/>
      <c r="J23" s="28"/>
      <c r="K23" s="72" t="str">
        <f aca="false">IF(OR(D23="",H23=""),"",H23-D23)</f>
        <v/>
      </c>
      <c r="L23" s="14"/>
    </row>
    <row r="24" customFormat="false" ht="15.75" hidden="false" customHeight="true" outlineLevel="0" collapsed="false">
      <c r="A24" s="13" t="s">
        <v>1115</v>
      </c>
      <c r="B24" s="14" t="s">
        <v>1116</v>
      </c>
      <c r="C24" s="13" t="s">
        <v>1117</v>
      </c>
      <c r="D24" s="24"/>
      <c r="E24" s="28"/>
      <c r="F24" s="28"/>
      <c r="G24" s="72" t="str">
        <f aca="false">IF(OR(D24="",$D$5=""),"",$D$5-D24)</f>
        <v/>
      </c>
      <c r="H24" s="24"/>
      <c r="I24" s="28"/>
      <c r="J24" s="28"/>
      <c r="K24" s="72" t="str">
        <f aca="false">IF(OR(D24="",H24=""),"",H24-D24)</f>
        <v/>
      </c>
      <c r="L24" s="14"/>
    </row>
    <row r="25" customFormat="false" ht="15.75" hidden="false" customHeight="true" outlineLevel="0" collapsed="false">
      <c r="A25" s="13" t="s">
        <v>1115</v>
      </c>
      <c r="B25" s="14" t="s">
        <v>1116</v>
      </c>
      <c r="C25" s="13" t="s">
        <v>1118</v>
      </c>
      <c r="D25" s="24"/>
      <c r="E25" s="28"/>
      <c r="F25" s="28"/>
      <c r="G25" s="72" t="str">
        <f aca="false">IF(OR(D25="",$D$5=""),"",$D$5-D25)</f>
        <v/>
      </c>
      <c r="H25" s="24"/>
      <c r="I25" s="28"/>
      <c r="J25" s="28"/>
      <c r="K25" s="72" t="str">
        <f aca="false">IF(OR(D25="",H25=""),"",H25-D25)</f>
        <v/>
      </c>
      <c r="L25" s="14"/>
    </row>
    <row r="26" customFormat="false" ht="15.75" hidden="false" customHeight="true" outlineLevel="0" collapsed="false">
      <c r="A26" s="13" t="s">
        <v>1115</v>
      </c>
      <c r="B26" s="14" t="s">
        <v>1116</v>
      </c>
      <c r="C26" s="13" t="s">
        <v>1119</v>
      </c>
      <c r="D26" s="24"/>
      <c r="E26" s="28"/>
      <c r="F26" s="28"/>
      <c r="G26" s="72" t="str">
        <f aca="false">IF(OR(D26="",$D$5=""),"",$D$5-D26)</f>
        <v/>
      </c>
      <c r="H26" s="24"/>
      <c r="I26" s="28"/>
      <c r="J26" s="28"/>
      <c r="K26" s="72" t="str">
        <f aca="false">IF(OR(D26="",H26=""),"",H26-D26)</f>
        <v/>
      </c>
      <c r="L26" s="14"/>
    </row>
    <row r="27" customFormat="false" ht="15.75" hidden="false" customHeight="true" outlineLevel="0" collapsed="false">
      <c r="A27" s="13" t="s">
        <v>1115</v>
      </c>
      <c r="B27" s="14" t="s">
        <v>1120</v>
      </c>
      <c r="C27" s="13" t="s">
        <v>1117</v>
      </c>
      <c r="D27" s="24"/>
      <c r="E27" s="28"/>
      <c r="F27" s="28"/>
      <c r="G27" s="72" t="str">
        <f aca="false">IF(OR(D27="",$D$5=""),"",$D$5-D27)</f>
        <v/>
      </c>
      <c r="H27" s="24"/>
      <c r="I27" s="28"/>
      <c r="J27" s="28"/>
      <c r="K27" s="72" t="str">
        <f aca="false">IF(OR(D27="",H27=""),"",H27-D27)</f>
        <v/>
      </c>
      <c r="L27" s="14"/>
    </row>
    <row r="28" customFormat="false" ht="15.75" hidden="false" customHeight="true" outlineLevel="0" collapsed="false">
      <c r="A28" s="13" t="s">
        <v>1115</v>
      </c>
      <c r="B28" s="14" t="s">
        <v>1121</v>
      </c>
      <c r="C28" s="13" t="s">
        <v>1122</v>
      </c>
      <c r="D28" s="24"/>
      <c r="E28" s="28"/>
      <c r="F28" s="28"/>
      <c r="G28" s="72" t="str">
        <f aca="false">IF(OR(D28="",$D$5=""),"",$D$5-D28)</f>
        <v/>
      </c>
      <c r="H28" s="24"/>
      <c r="I28" s="28"/>
      <c r="J28" s="28"/>
      <c r="K28" s="72" t="str">
        <f aca="false">IF(OR(D28="",H28=""),"",H28-D28)</f>
        <v/>
      </c>
      <c r="L28" s="14"/>
    </row>
    <row r="29" customFormat="false" ht="15.75" hidden="false" customHeight="true" outlineLevel="0" collapsed="false">
      <c r="A29" s="13" t="s">
        <v>1123</v>
      </c>
      <c r="B29" s="14" t="s">
        <v>1124</v>
      </c>
      <c r="C29" s="13" t="s">
        <v>1125</v>
      </c>
      <c r="D29" s="24"/>
      <c r="E29" s="28"/>
      <c r="F29" s="28"/>
      <c r="G29" s="72" t="str">
        <f aca="false">IF(OR(D29="",$D$5=""),"",$D$5-D29)</f>
        <v/>
      </c>
      <c r="H29" s="24"/>
      <c r="I29" s="28"/>
      <c r="J29" s="28"/>
      <c r="K29" s="72" t="str">
        <f aca="false">IF(OR(D29="",H29=""),"",H29-D29)</f>
        <v/>
      </c>
      <c r="L29" s="14" t="s">
        <v>1126</v>
      </c>
    </row>
    <row r="30" customFormat="false" ht="15.75" hidden="false" customHeight="true" outlineLevel="0" collapsed="false"/>
    <row r="31" customFormat="false" ht="15.75" hidden="false" customHeight="true" outlineLevel="0" collapsed="false">
      <c r="B31" s="19" t="s">
        <v>1127</v>
      </c>
      <c r="C31" s="23" t="n">
        <f aca="false">IF(COUNT(D5:D29)=0,"",MIN(D5:D29))</f>
        <v>0.936</v>
      </c>
      <c r="D31" s="23"/>
      <c r="E31" s="19" t="s">
        <v>1128</v>
      </c>
      <c r="F31" s="19"/>
      <c r="G31" s="14" t="str">
        <f aca="false">IF(COUNT(D5:D29)=0,"",INDEX(B5:B29,MATCH(MIN(D5:D29),D5:D29,0))&amp;" "&amp;INDEX(C5:C29,MATCH(MIN(D5:D29),D5:D29,0)))</f>
        <v>Không biến đổi –</v>
      </c>
      <c r="H31" s="14"/>
      <c r="I31" s="14"/>
      <c r="J31" s="14"/>
      <c r="K31" s="14"/>
    </row>
    <row r="32" customFormat="false" ht="15.75" hidden="false" customHeight="true" outlineLevel="0" collapsed="false">
      <c r="B32" s="19" t="s">
        <v>1129</v>
      </c>
      <c r="C32" s="23" t="str">
        <f aca="false">IF(COUNT(H5:H29)=0,"",MIN(H5:H29))</f>
        <v/>
      </c>
      <c r="D32" s="23"/>
      <c r="E32" s="19" t="s">
        <v>1128</v>
      </c>
      <c r="F32" s="19"/>
      <c r="G32" s="14" t="str">
        <f aca="false">IF(COUNT(H5:H29)=0,"",INDEX(B5:B29,MATCH(MIN(H5:H29),H5:H29,0))&amp;" "&amp;INDEX(C5:C29,MATCH(MIN(H5:H29),H5:H29,0)))</f>
        <v/>
      </c>
      <c r="H32" s="14"/>
      <c r="I32" s="14"/>
      <c r="J32" s="14"/>
      <c r="K32" s="14"/>
    </row>
    <row r="33" customFormat="false" ht="15" hidden="false" customHeight="false" outlineLevel="0" collapsed="false">
      <c r="A33" s="52" t="s">
        <v>1130</v>
      </c>
    </row>
  </sheetData>
  <mergeCells count="6">
    <mergeCell ref="C31:D31"/>
    <mergeCell ref="E31:F31"/>
    <mergeCell ref="G31:K31"/>
    <mergeCell ref="C32:D32"/>
    <mergeCell ref="E32:F32"/>
    <mergeCell ref="G32:K32"/>
  </mergeCells>
  <conditionalFormatting sqref="G5:G29">
    <cfRule type="expression" priority="2" aboveAverage="0" equalAverage="0" bottom="0" percent="0" rank="0" text="" dxfId="2">
      <formula>AND(ISNUMBER(G5),G5&gt;0.05)</formula>
    </cfRule>
  </conditionalFormatting>
  <conditionalFormatting sqref="K5:K29">
    <cfRule type="expression" priority="3" aboveAverage="0" equalAverage="0" bottom="0" percent="0" rank="0" text="" dxfId="1">
      <formula>AND(ISNUMBER(K5),K5&lt;-0.01)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42"/>
    <col collapsed="false" customWidth="true" hidden="false" outlineLevel="0" max="7" min="6" style="0" width="13"/>
    <col collapsed="false" customWidth="true" hidden="false" outlineLevel="0" max="8" min="8" style="0" width="30"/>
  </cols>
  <sheetData>
    <row r="1" customFormat="false" ht="17.25" hidden="false" customHeight="true" outlineLevel="0" collapsed="false">
      <c r="A1" s="2" t="s">
        <v>1131</v>
      </c>
    </row>
    <row r="2" customFormat="false" ht="15" hidden="false" customHeight="true" outlineLevel="0" collapsed="false">
      <c r="A2" s="3" t="s">
        <v>1132</v>
      </c>
    </row>
    <row r="4" customFormat="false" ht="15.75" hidden="false" customHeight="true" outlineLevel="0" collapsed="false">
      <c r="A4" s="12" t="s">
        <v>74</v>
      </c>
      <c r="B4" s="12" t="s">
        <v>75</v>
      </c>
      <c r="C4" s="12" t="s">
        <v>1133</v>
      </c>
      <c r="D4" s="12" t="s">
        <v>1134</v>
      </c>
      <c r="E4" s="12" t="s">
        <v>1135</v>
      </c>
      <c r="F4" s="12" t="s">
        <v>261</v>
      </c>
      <c r="G4" s="12" t="s">
        <v>262</v>
      </c>
      <c r="H4" s="12" t="s">
        <v>1136</v>
      </c>
    </row>
    <row r="5" customFormat="false" ht="15.75" hidden="false" customHeight="true" outlineLevel="0" collapsed="false">
      <c r="A5" s="13" t="s">
        <v>1137</v>
      </c>
      <c r="B5" s="13" t="s">
        <v>1138</v>
      </c>
      <c r="C5" s="14" t="s">
        <v>1139</v>
      </c>
      <c r="D5" s="14"/>
      <c r="E5" s="14" t="s">
        <v>1140</v>
      </c>
      <c r="F5" s="18" t="s">
        <v>1141</v>
      </c>
      <c r="G5" s="18" t="s">
        <v>1141</v>
      </c>
      <c r="H5" s="18"/>
    </row>
    <row r="6" customFormat="false" ht="28.5" hidden="false" customHeight="true" outlineLevel="0" collapsed="false">
      <c r="A6" s="13" t="s">
        <v>1142</v>
      </c>
      <c r="B6" s="13" t="s">
        <v>1138</v>
      </c>
      <c r="C6" s="14" t="s">
        <v>1143</v>
      </c>
      <c r="D6" s="14" t="s">
        <v>1144</v>
      </c>
      <c r="E6" s="14" t="s">
        <v>1145</v>
      </c>
      <c r="F6" s="18" t="s">
        <v>1141</v>
      </c>
      <c r="G6" s="18" t="s">
        <v>1141</v>
      </c>
      <c r="H6" s="18"/>
    </row>
    <row r="7" customFormat="false" ht="15.75" hidden="false" customHeight="true" outlineLevel="0" collapsed="false">
      <c r="A7" s="13" t="s">
        <v>1146</v>
      </c>
      <c r="B7" s="13" t="s">
        <v>1138</v>
      </c>
      <c r="C7" s="14" t="s">
        <v>1147</v>
      </c>
      <c r="D7" s="14" t="s">
        <v>1148</v>
      </c>
      <c r="E7" s="14" t="s">
        <v>1149</v>
      </c>
      <c r="F7" s="18" t="s">
        <v>1141</v>
      </c>
      <c r="G7" s="18" t="s">
        <v>1141</v>
      </c>
      <c r="H7" s="18"/>
    </row>
    <row r="8" customFormat="false" ht="28.5" hidden="false" customHeight="true" outlineLevel="0" collapsed="false">
      <c r="A8" s="13" t="s">
        <v>1150</v>
      </c>
      <c r="B8" s="13" t="s">
        <v>1138</v>
      </c>
      <c r="C8" s="14" t="s">
        <v>1151</v>
      </c>
      <c r="D8" s="14" t="s">
        <v>1152</v>
      </c>
      <c r="E8" s="14" t="s">
        <v>1153</v>
      </c>
      <c r="F8" s="18" t="s">
        <v>1141</v>
      </c>
      <c r="G8" s="18" t="s">
        <v>1141</v>
      </c>
      <c r="H8" s="18"/>
    </row>
    <row r="9" customFormat="false" ht="15.75" hidden="false" customHeight="true" outlineLevel="0" collapsed="false">
      <c r="A9" s="13" t="s">
        <v>1154</v>
      </c>
      <c r="B9" s="13" t="s">
        <v>1138</v>
      </c>
      <c r="C9" s="14" t="s">
        <v>1155</v>
      </c>
      <c r="D9" s="14" t="s">
        <v>1156</v>
      </c>
      <c r="E9" s="14" t="s">
        <v>1157</v>
      </c>
      <c r="F9" s="18" t="s">
        <v>1141</v>
      </c>
      <c r="G9" s="18" t="s">
        <v>1141</v>
      </c>
      <c r="H9" s="18"/>
    </row>
    <row r="10" customFormat="false" ht="15.75" hidden="false" customHeight="true" outlineLevel="0" collapsed="false">
      <c r="A10" s="13" t="s">
        <v>1158</v>
      </c>
      <c r="B10" s="13" t="s">
        <v>1138</v>
      </c>
      <c r="C10" s="14" t="s">
        <v>1159</v>
      </c>
      <c r="D10" s="14" t="s">
        <v>1160</v>
      </c>
      <c r="E10" s="14" t="s">
        <v>1161</v>
      </c>
      <c r="F10" s="18" t="s">
        <v>1141</v>
      </c>
      <c r="G10" s="18" t="s">
        <v>1141</v>
      </c>
      <c r="H10" s="18"/>
    </row>
    <row r="11" customFormat="false" ht="15.75" hidden="false" customHeight="true" outlineLevel="0" collapsed="false">
      <c r="A11" s="13" t="s">
        <v>1162</v>
      </c>
      <c r="B11" s="13" t="s">
        <v>1138</v>
      </c>
      <c r="C11" s="14" t="s">
        <v>1163</v>
      </c>
      <c r="D11" s="14" t="s">
        <v>1164</v>
      </c>
      <c r="E11" s="14" t="s">
        <v>1165</v>
      </c>
      <c r="F11" s="18" t="s">
        <v>1141</v>
      </c>
      <c r="G11" s="18" t="s">
        <v>1141</v>
      </c>
      <c r="H11" s="18"/>
    </row>
    <row r="12" customFormat="false" ht="15.75" hidden="false" customHeight="true" outlineLevel="0" collapsed="false">
      <c r="A12" s="13" t="s">
        <v>1166</v>
      </c>
      <c r="B12" s="13" t="s">
        <v>1138</v>
      </c>
      <c r="C12" s="14" t="s">
        <v>1167</v>
      </c>
      <c r="D12" s="14" t="s">
        <v>1168</v>
      </c>
      <c r="E12" s="14" t="s">
        <v>1169</v>
      </c>
      <c r="F12" s="18" t="s">
        <v>1141</v>
      </c>
      <c r="G12" s="18" t="s">
        <v>1141</v>
      </c>
      <c r="H12" s="18"/>
    </row>
    <row r="13" customFormat="false" ht="28.5" hidden="false" customHeight="true" outlineLevel="0" collapsed="false">
      <c r="A13" s="13" t="s">
        <v>1170</v>
      </c>
      <c r="B13" s="13" t="s">
        <v>1171</v>
      </c>
      <c r="C13" s="14" t="s">
        <v>1172</v>
      </c>
      <c r="D13" s="14" t="s">
        <v>1173</v>
      </c>
      <c r="E13" s="14" t="s">
        <v>1174</v>
      </c>
      <c r="F13" s="18" t="s">
        <v>1141</v>
      </c>
      <c r="G13" s="18" t="s">
        <v>1141</v>
      </c>
      <c r="H13" s="18"/>
    </row>
    <row r="14" customFormat="false" ht="15.75" hidden="false" customHeight="true" outlineLevel="0" collapsed="false">
      <c r="A14" s="13" t="s">
        <v>1175</v>
      </c>
      <c r="B14" s="13" t="s">
        <v>1171</v>
      </c>
      <c r="C14" s="14" t="s">
        <v>1176</v>
      </c>
      <c r="D14" s="14" t="s">
        <v>1177</v>
      </c>
      <c r="E14" s="14" t="s">
        <v>1178</v>
      </c>
      <c r="F14" s="18" t="s">
        <v>1141</v>
      </c>
      <c r="G14" s="18" t="s">
        <v>1141</v>
      </c>
      <c r="H14" s="18"/>
    </row>
    <row r="15" customFormat="false" ht="15.75" hidden="false" customHeight="true" outlineLevel="0" collapsed="false">
      <c r="A15" s="13" t="s">
        <v>1179</v>
      </c>
      <c r="B15" s="13" t="s">
        <v>1171</v>
      </c>
      <c r="C15" s="14" t="s">
        <v>1180</v>
      </c>
      <c r="D15" s="14"/>
      <c r="E15" s="14" t="s">
        <v>1181</v>
      </c>
      <c r="F15" s="18" t="s">
        <v>1141</v>
      </c>
      <c r="G15" s="18" t="s">
        <v>1141</v>
      </c>
      <c r="H15" s="18"/>
    </row>
    <row r="16" customFormat="false" ht="15.75" hidden="false" customHeight="true" outlineLevel="0" collapsed="false">
      <c r="A16" s="13" t="s">
        <v>1182</v>
      </c>
      <c r="B16" s="13" t="s">
        <v>1171</v>
      </c>
      <c r="C16" s="14" t="s">
        <v>1183</v>
      </c>
      <c r="D16" s="14" t="s">
        <v>1184</v>
      </c>
      <c r="E16" s="14" t="s">
        <v>1185</v>
      </c>
      <c r="F16" s="18" t="s">
        <v>1141</v>
      </c>
      <c r="G16" s="18" t="s">
        <v>1141</v>
      </c>
      <c r="H16" s="18"/>
    </row>
    <row r="17" customFormat="false" ht="28.5" hidden="false" customHeight="true" outlineLevel="0" collapsed="false">
      <c r="A17" s="13" t="s">
        <v>1186</v>
      </c>
      <c r="B17" s="13" t="s">
        <v>1171</v>
      </c>
      <c r="C17" s="14" t="s">
        <v>1187</v>
      </c>
      <c r="D17" s="14"/>
      <c r="E17" s="14" t="s">
        <v>1188</v>
      </c>
      <c r="F17" s="18" t="s">
        <v>1141</v>
      </c>
      <c r="G17" s="18" t="s">
        <v>1141</v>
      </c>
      <c r="H17" s="18"/>
    </row>
    <row r="18" customFormat="false" ht="15.75" hidden="false" customHeight="true" outlineLevel="0" collapsed="false">
      <c r="A18" s="13" t="s">
        <v>1189</v>
      </c>
      <c r="B18" s="13" t="s">
        <v>1171</v>
      </c>
      <c r="C18" s="14" t="s">
        <v>1190</v>
      </c>
      <c r="D18" s="14" t="s">
        <v>1191</v>
      </c>
      <c r="E18" s="14" t="s">
        <v>1192</v>
      </c>
      <c r="F18" s="18" t="s">
        <v>1141</v>
      </c>
      <c r="G18" s="18" t="s">
        <v>1141</v>
      </c>
      <c r="H18" s="18"/>
    </row>
    <row r="19" customFormat="false" ht="15.75" hidden="false" customHeight="true" outlineLevel="0" collapsed="false">
      <c r="A19" s="13" t="s">
        <v>1193</v>
      </c>
      <c r="B19" s="13" t="s">
        <v>1171</v>
      </c>
      <c r="C19" s="14" t="s">
        <v>1194</v>
      </c>
      <c r="D19" s="14" t="s">
        <v>1195</v>
      </c>
      <c r="E19" s="14" t="s">
        <v>1196</v>
      </c>
      <c r="F19" s="18" t="s">
        <v>1141</v>
      </c>
      <c r="G19" s="18" t="s">
        <v>1141</v>
      </c>
      <c r="H19" s="18"/>
    </row>
    <row r="20" customFormat="false" ht="15.75" hidden="false" customHeight="true" outlineLevel="0" collapsed="false">
      <c r="A20" s="13" t="s">
        <v>1197</v>
      </c>
      <c r="B20" s="13" t="s">
        <v>1198</v>
      </c>
      <c r="C20" s="14" t="s">
        <v>1199</v>
      </c>
      <c r="D20" s="14" t="s">
        <v>1200</v>
      </c>
      <c r="E20" s="14" t="s">
        <v>1201</v>
      </c>
      <c r="F20" s="18" t="s">
        <v>1141</v>
      </c>
      <c r="G20" s="18" t="s">
        <v>1141</v>
      </c>
      <c r="H20" s="18"/>
    </row>
    <row r="21" customFormat="false" ht="15.75" hidden="false" customHeight="true" outlineLevel="0" collapsed="false">
      <c r="A21" s="13" t="s">
        <v>1202</v>
      </c>
      <c r="B21" s="13" t="s">
        <v>1198</v>
      </c>
      <c r="C21" s="14" t="s">
        <v>1203</v>
      </c>
      <c r="D21" s="14" t="s">
        <v>1204</v>
      </c>
      <c r="E21" s="14" t="s">
        <v>1205</v>
      </c>
      <c r="F21" s="18" t="s">
        <v>1141</v>
      </c>
      <c r="G21" s="18" t="s">
        <v>1141</v>
      </c>
      <c r="H21" s="18"/>
    </row>
    <row r="22" customFormat="false" ht="15.75" hidden="false" customHeight="true" outlineLevel="0" collapsed="false">
      <c r="A22" s="13" t="s">
        <v>1206</v>
      </c>
      <c r="B22" s="13" t="s">
        <v>1198</v>
      </c>
      <c r="C22" s="14" t="s">
        <v>1207</v>
      </c>
      <c r="D22" s="14" t="s">
        <v>1208</v>
      </c>
      <c r="E22" s="14" t="s">
        <v>1209</v>
      </c>
      <c r="F22" s="18" t="s">
        <v>1141</v>
      </c>
      <c r="G22" s="18" t="s">
        <v>1141</v>
      </c>
      <c r="H22" s="18"/>
    </row>
    <row r="23" customFormat="false" ht="15.75" hidden="false" customHeight="true" outlineLevel="0" collapsed="false">
      <c r="A23" s="13" t="s">
        <v>1210</v>
      </c>
      <c r="B23" s="13" t="s">
        <v>1198</v>
      </c>
      <c r="C23" s="14" t="s">
        <v>1211</v>
      </c>
      <c r="D23" s="14" t="s">
        <v>1212</v>
      </c>
      <c r="E23" s="14" t="s">
        <v>1213</v>
      </c>
      <c r="F23" s="18" t="s">
        <v>1141</v>
      </c>
      <c r="G23" s="18" t="s">
        <v>1141</v>
      </c>
      <c r="H23" s="18"/>
    </row>
    <row r="24" customFormat="false" ht="15.75" hidden="false" customHeight="true" outlineLevel="0" collapsed="false">
      <c r="A24" s="13" t="s">
        <v>1214</v>
      </c>
      <c r="B24" s="13" t="s">
        <v>1215</v>
      </c>
      <c r="C24" s="14" t="s">
        <v>1216</v>
      </c>
      <c r="D24" s="14"/>
      <c r="E24" s="14" t="s">
        <v>1217</v>
      </c>
      <c r="F24" s="18" t="s">
        <v>1141</v>
      </c>
      <c r="G24" s="18" t="s">
        <v>1141</v>
      </c>
      <c r="H24" s="18"/>
    </row>
    <row r="25" customFormat="false" ht="15.75" hidden="false" customHeight="true" outlineLevel="0" collapsed="false">
      <c r="A25" s="13" t="s">
        <v>1218</v>
      </c>
      <c r="B25" s="13" t="s">
        <v>1215</v>
      </c>
      <c r="C25" s="14" t="s">
        <v>1219</v>
      </c>
      <c r="D25" s="14"/>
      <c r="E25" s="14" t="s">
        <v>1178</v>
      </c>
      <c r="F25" s="18" t="s">
        <v>1141</v>
      </c>
      <c r="G25" s="18" t="s">
        <v>1141</v>
      </c>
      <c r="H25" s="18"/>
    </row>
    <row r="26" customFormat="false" ht="15.75" hidden="false" customHeight="true" outlineLevel="0" collapsed="false">
      <c r="A26" s="13" t="s">
        <v>1220</v>
      </c>
      <c r="B26" s="13" t="s">
        <v>1215</v>
      </c>
      <c r="C26" s="14" t="s">
        <v>1221</v>
      </c>
      <c r="D26" s="14" t="s">
        <v>1222</v>
      </c>
      <c r="E26" s="14" t="s">
        <v>1223</v>
      </c>
      <c r="F26" s="18" t="s">
        <v>1141</v>
      </c>
      <c r="G26" s="18" t="s">
        <v>1141</v>
      </c>
      <c r="H26" s="18"/>
    </row>
    <row r="27" customFormat="false" ht="15.75" hidden="false" customHeight="true" outlineLevel="0" collapsed="false">
      <c r="A27" s="13" t="s">
        <v>1224</v>
      </c>
      <c r="B27" s="13" t="s">
        <v>1215</v>
      </c>
      <c r="C27" s="14" t="s">
        <v>1225</v>
      </c>
      <c r="D27" s="14"/>
      <c r="E27" s="14" t="s">
        <v>1226</v>
      </c>
      <c r="F27" s="18" t="s">
        <v>1141</v>
      </c>
      <c r="G27" s="18" t="s">
        <v>1141</v>
      </c>
      <c r="H27" s="18"/>
    </row>
    <row r="28" customFormat="false" ht="15.75" hidden="false" customHeight="true" outlineLevel="0" collapsed="false">
      <c r="A28" s="13" t="s">
        <v>1227</v>
      </c>
      <c r="B28" s="13" t="s">
        <v>1228</v>
      </c>
      <c r="C28" s="14" t="s">
        <v>1229</v>
      </c>
      <c r="D28" s="14" t="s">
        <v>1230</v>
      </c>
      <c r="E28" s="14" t="s">
        <v>1231</v>
      </c>
      <c r="F28" s="18" t="s">
        <v>1141</v>
      </c>
      <c r="G28" s="18" t="s">
        <v>1141</v>
      </c>
      <c r="H28" s="18"/>
    </row>
    <row r="29" customFormat="false" ht="15.75" hidden="false" customHeight="true" outlineLevel="0" collapsed="false">
      <c r="A29" s="13" t="s">
        <v>1232</v>
      </c>
      <c r="B29" s="13" t="s">
        <v>1233</v>
      </c>
      <c r="C29" s="14" t="s">
        <v>1234</v>
      </c>
      <c r="D29" s="14"/>
      <c r="E29" s="14" t="s">
        <v>1235</v>
      </c>
      <c r="F29" s="18" t="s">
        <v>1141</v>
      </c>
      <c r="G29" s="18" t="s">
        <v>1141</v>
      </c>
      <c r="H29" s="18"/>
    </row>
    <row r="30" customFormat="false" ht="15.75" hidden="false" customHeight="true" outlineLevel="0" collapsed="false">
      <c r="A30" s="13" t="s">
        <v>1236</v>
      </c>
      <c r="B30" s="13" t="s">
        <v>1233</v>
      </c>
      <c r="C30" s="14" t="s">
        <v>1237</v>
      </c>
      <c r="D30" s="14" t="s">
        <v>1238</v>
      </c>
      <c r="E30" s="14" t="s">
        <v>1239</v>
      </c>
      <c r="F30" s="18" t="s">
        <v>1141</v>
      </c>
      <c r="G30" s="18" t="s">
        <v>1141</v>
      </c>
      <c r="H30" s="18"/>
    </row>
    <row r="31" customFormat="false" ht="15.75" hidden="false" customHeight="true" outlineLevel="0" collapsed="false">
      <c r="A31" s="13" t="s">
        <v>1240</v>
      </c>
      <c r="B31" s="13" t="s">
        <v>1233</v>
      </c>
      <c r="C31" s="14" t="s">
        <v>1241</v>
      </c>
      <c r="D31" s="14" t="s">
        <v>1242</v>
      </c>
      <c r="E31" s="14" t="s">
        <v>1243</v>
      </c>
      <c r="F31" s="18" t="s">
        <v>1141</v>
      </c>
      <c r="G31" s="18" t="s">
        <v>1141</v>
      </c>
      <c r="H31" s="18"/>
    </row>
    <row r="32" customFormat="false" ht="15.75" hidden="false" customHeight="true" outlineLevel="0" collapsed="false">
      <c r="A32" s="13" t="s">
        <v>1244</v>
      </c>
      <c r="B32" s="13" t="s">
        <v>1245</v>
      </c>
      <c r="C32" s="14" t="s">
        <v>1246</v>
      </c>
      <c r="D32" s="14" t="s">
        <v>1247</v>
      </c>
      <c r="E32" s="14" t="s">
        <v>1248</v>
      </c>
      <c r="F32" s="18" t="s">
        <v>1141</v>
      </c>
      <c r="G32" s="18" t="s">
        <v>1141</v>
      </c>
      <c r="H32" s="18"/>
    </row>
    <row r="33" customFormat="false" ht="15.75" hidden="false" customHeight="true" outlineLevel="0" collapsed="false">
      <c r="A33" s="13" t="s">
        <v>1249</v>
      </c>
      <c r="B33" s="13" t="s">
        <v>1245</v>
      </c>
      <c r="C33" s="14" t="s">
        <v>1250</v>
      </c>
      <c r="D33" s="14" t="s">
        <v>1251</v>
      </c>
      <c r="E33" s="14" t="s">
        <v>1252</v>
      </c>
      <c r="F33" s="18" t="s">
        <v>1141</v>
      </c>
      <c r="G33" s="18" t="s">
        <v>1141</v>
      </c>
      <c r="H33" s="18"/>
    </row>
    <row r="34" customFormat="false" ht="15.75" hidden="false" customHeight="true" outlineLevel="0" collapsed="false">
      <c r="A34" s="13" t="s">
        <v>1253</v>
      </c>
      <c r="B34" s="13" t="s">
        <v>1245</v>
      </c>
      <c r="C34" s="14" t="s">
        <v>1254</v>
      </c>
      <c r="D34" s="14" t="s">
        <v>1255</v>
      </c>
      <c r="E34" s="14" t="s">
        <v>1256</v>
      </c>
      <c r="F34" s="18" t="s">
        <v>1141</v>
      </c>
      <c r="G34" s="18" t="s">
        <v>1141</v>
      </c>
      <c r="H34" s="18"/>
    </row>
    <row r="35" customFormat="false" ht="15.75" hidden="false" customHeight="true" outlineLevel="0" collapsed="false"/>
    <row r="36" customFormat="false" ht="15.75" hidden="false" customHeight="true" outlineLevel="0" collapsed="false">
      <c r="E36" s="19" t="s">
        <v>699</v>
      </c>
      <c r="F36" s="19" t="s">
        <v>261</v>
      </c>
      <c r="G36" s="19" t="s">
        <v>262</v>
      </c>
    </row>
    <row r="37" customFormat="false" ht="15.75" hidden="false" customHeight="true" outlineLevel="0" collapsed="false">
      <c r="E37" s="14" t="s">
        <v>251</v>
      </c>
      <c r="F37" s="13" t="n">
        <f aca="false">COUNTIF(F$5:F$34,"Đạt")</f>
        <v>0</v>
      </c>
      <c r="G37" s="13" t="n">
        <f aca="false">COUNTIF(G$5:G$34,"Đạt")</f>
        <v>0</v>
      </c>
    </row>
    <row r="38" customFormat="false" ht="15.75" hidden="false" customHeight="true" outlineLevel="0" collapsed="false">
      <c r="E38" s="14" t="s">
        <v>253</v>
      </c>
      <c r="F38" s="13" t="n">
        <f aca="false">COUNTIF(F$5:F$34,"Không đạt")</f>
        <v>0</v>
      </c>
      <c r="G38" s="13" t="n">
        <f aca="false">COUNTIF(G$5:G$34,"Không đạt")</f>
        <v>0</v>
      </c>
    </row>
    <row r="39" customFormat="false" ht="15.75" hidden="false" customHeight="true" outlineLevel="0" collapsed="false">
      <c r="E39" s="14" t="s">
        <v>1141</v>
      </c>
      <c r="F39" s="13" t="n">
        <f aca="false">COUNTIF(F$5:F$34,"Chưa chạy")</f>
        <v>30</v>
      </c>
      <c r="G39" s="13" t="n">
        <f aca="false">COUNTIF(G$5:G$34,"Chưa chạy")</f>
        <v>30</v>
      </c>
    </row>
    <row r="40" customFormat="false" ht="15.75" hidden="false" customHeight="true" outlineLevel="0" collapsed="false">
      <c r="E40" s="14" t="s">
        <v>254</v>
      </c>
      <c r="F40" s="13" t="n">
        <f aca="false">COUNTIF(F$5:F$34,"Không áp dụng")</f>
        <v>0</v>
      </c>
      <c r="G40" s="13" t="n">
        <f aca="false">COUNTIF(G$5:G$34,"Không áp dụng")</f>
        <v>0</v>
      </c>
    </row>
  </sheetData>
  <conditionalFormatting sqref="F5:G34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</conditionalFormatting>
  <dataValidations count="1">
    <dataValidation allowBlank="true" errorStyle="stop" operator="between" showDropDown="false" showErrorMessage="false" showInputMessage="false" sqref="F5:G34" type="list">
      <formula1>"Chưa chạy,Đạt,Không đạt,Không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3" min="10" style="0" width="12"/>
    <col collapsed="false" customWidth="true" hidden="false" outlineLevel="0" max="14" min="14" style="0" width="34"/>
  </cols>
  <sheetData>
    <row r="1" customFormat="false" ht="17.25" hidden="false" customHeight="true" outlineLevel="0" collapsed="false">
      <c r="A1" s="2" t="s">
        <v>1257</v>
      </c>
    </row>
    <row r="2" customFormat="false" ht="15" hidden="false" customHeight="true" outlineLevel="0" collapsed="false">
      <c r="A2" s="3" t="s">
        <v>1258</v>
      </c>
    </row>
    <row r="4" customFormat="false" ht="15" hidden="false" customHeight="false" outlineLevel="0" collapsed="false">
      <c r="A4" s="19" t="s">
        <v>380</v>
      </c>
      <c r="B4" s="36" t="n">
        <f aca="false">IF(Snapshot!C20="","",Snapshot!C20)</f>
        <v>0.96</v>
      </c>
    </row>
    <row r="6" customFormat="false" ht="41.25" hidden="false" customHeight="true" outlineLevel="0" collapsed="false">
      <c r="A6" s="12" t="s">
        <v>702</v>
      </c>
      <c r="B6" s="12" t="s">
        <v>382</v>
      </c>
      <c r="C6" s="12" t="s">
        <v>1259</v>
      </c>
      <c r="D6" s="12" t="s">
        <v>1260</v>
      </c>
      <c r="E6" s="12" t="s">
        <v>1261</v>
      </c>
      <c r="F6" s="12" t="s">
        <v>707</v>
      </c>
      <c r="G6" s="12" t="s">
        <v>518</v>
      </c>
      <c r="H6" s="12" t="s">
        <v>1262</v>
      </c>
      <c r="I6" s="12" t="s">
        <v>541</v>
      </c>
      <c r="J6" s="12" t="s">
        <v>1263</v>
      </c>
      <c r="K6" s="12" t="s">
        <v>1264</v>
      </c>
      <c r="L6" s="12" t="s">
        <v>1265</v>
      </c>
      <c r="M6" s="12" t="s">
        <v>1266</v>
      </c>
      <c r="N6" s="12" t="s">
        <v>89</v>
      </c>
    </row>
    <row r="7" customFormat="false" ht="15.75" hidden="false" customHeight="true" outlineLevel="0" collapsed="false">
      <c r="A7" s="14" t="s">
        <v>1267</v>
      </c>
      <c r="B7" s="37" t="n">
        <v>0.08</v>
      </c>
      <c r="C7" s="48" t="n">
        <f aca="false">IF(OR(B7="",B7=0),"",60/B7)</f>
        <v>750</v>
      </c>
      <c r="D7" s="20" t="n">
        <f aca="false">IF(OR(B7="",$B$4=""),"",MAX(0,1-B7/$B$4))</f>
        <v>0.916666666666667</v>
      </c>
      <c r="E7" s="15" t="s">
        <v>1268</v>
      </c>
      <c r="F7" s="26" t="n">
        <v>0.936</v>
      </c>
      <c r="G7" s="26" t="n">
        <v>0.041</v>
      </c>
      <c r="H7" s="35" t="n">
        <v>120</v>
      </c>
      <c r="I7" s="26" t="n">
        <v>0.16</v>
      </c>
      <c r="J7" s="38" t="n">
        <v>9.8</v>
      </c>
      <c r="K7" s="44" t="n">
        <v>11.5</v>
      </c>
      <c r="L7" s="72" t="n">
        <f aca="false">IF(OR(F7="",$F$7=""),"",F7-$F$7)</f>
        <v>0</v>
      </c>
      <c r="M7" s="25" t="n">
        <f aca="false">IF(OR(I7="",$I$7="",$I$7=0),"",1-I7/$I$7)</f>
        <v>0</v>
      </c>
      <c r="N7" s="18"/>
    </row>
    <row r="8" customFormat="false" ht="15.75" hidden="false" customHeight="true" outlineLevel="0" collapsed="false">
      <c r="A8" s="14" t="s">
        <v>1269</v>
      </c>
      <c r="B8" s="37" t="n">
        <v>0.16</v>
      </c>
      <c r="C8" s="48" t="n">
        <f aca="false">IF(OR(B8="",B8=0),"",60/B8)</f>
        <v>375</v>
      </c>
      <c r="D8" s="20" t="n">
        <f aca="false">IF(OR(B8="",$B$4=""),"",MAX(0,1-B8/$B$4))</f>
        <v>0.833333333333333</v>
      </c>
      <c r="E8" s="18"/>
      <c r="F8" s="24"/>
      <c r="G8" s="24"/>
      <c r="H8" s="34"/>
      <c r="I8" s="24"/>
      <c r="J8" s="37"/>
      <c r="K8" s="43"/>
      <c r="L8" s="72" t="str">
        <f aca="false">IF(OR(F8="",$F$7=""),"",F8-$F$7)</f>
        <v/>
      </c>
      <c r="M8" s="25" t="str">
        <f aca="false">IF(OR(I8="",$I$7="",$I$7=0),"",1-I8/$I$7)</f>
        <v/>
      </c>
      <c r="N8" s="18"/>
    </row>
    <row r="9" customFormat="false" ht="15.75" hidden="false" customHeight="true" outlineLevel="0" collapsed="false">
      <c r="A9" s="14" t="s">
        <v>1270</v>
      </c>
      <c r="B9" s="37" t="n">
        <v>0.24</v>
      </c>
      <c r="C9" s="48" t="n">
        <f aca="false">IF(OR(B9="",B9=0),"",60/B9)</f>
        <v>250</v>
      </c>
      <c r="D9" s="20" t="n">
        <f aca="false">IF(OR(B9="",$B$4=""),"",MAX(0,1-B9/$B$4))</f>
        <v>0.75</v>
      </c>
      <c r="E9" s="18"/>
      <c r="F9" s="24"/>
      <c r="G9" s="24"/>
      <c r="H9" s="34"/>
      <c r="I9" s="24"/>
      <c r="J9" s="37"/>
      <c r="K9" s="43"/>
      <c r="L9" s="72" t="str">
        <f aca="false">IF(OR(F9="",$F$7=""),"",F9-$F$7)</f>
        <v/>
      </c>
      <c r="M9" s="25" t="str">
        <f aca="false">IF(OR(I9="",$I$7="",$I$7=0),"",1-I9/$I$7)</f>
        <v/>
      </c>
      <c r="N9" s="18"/>
    </row>
    <row r="10" customFormat="false" ht="15.75" hidden="false" customHeight="true" outlineLevel="0" collapsed="false">
      <c r="A10" s="14" t="s">
        <v>1271</v>
      </c>
      <c r="B10" s="37" t="n">
        <v>0.32</v>
      </c>
      <c r="C10" s="48" t="n">
        <f aca="false">IF(OR(B10="",B10=0),"",60/B10)</f>
        <v>187.5</v>
      </c>
      <c r="D10" s="20" t="n">
        <f aca="false">IF(OR(B10="",$B$4=""),"",MAX(0,1-B10/$B$4))</f>
        <v>0.666666666666667</v>
      </c>
      <c r="E10" s="18"/>
      <c r="F10" s="24"/>
      <c r="G10" s="24"/>
      <c r="H10" s="34"/>
      <c r="I10" s="24"/>
      <c r="J10" s="37"/>
      <c r="K10" s="43"/>
      <c r="L10" s="72" t="str">
        <f aca="false">IF(OR(F10="",$F$7=""),"",F10-$F$7)</f>
        <v/>
      </c>
      <c r="M10" s="25" t="str">
        <f aca="false">IF(OR(I10="",$I$7="",$I$7=0),"",1-I10/$I$7)</f>
        <v/>
      </c>
      <c r="N10" s="18"/>
    </row>
    <row r="11" customFormat="false" ht="15.75" hidden="false" customHeight="true" outlineLevel="0" collapsed="false">
      <c r="A11" s="14" t="s">
        <v>1272</v>
      </c>
      <c r="B11" s="37" t="n">
        <v>0.48</v>
      </c>
      <c r="C11" s="48" t="n">
        <f aca="false">IF(OR(B11="",B11=0),"",60/B11)</f>
        <v>125</v>
      </c>
      <c r="D11" s="20" t="n">
        <f aca="false">IF(OR(B11="",$B$4=""),"",MAX(0,1-B11/$B$4))</f>
        <v>0.5</v>
      </c>
      <c r="E11" s="18"/>
      <c r="F11" s="24"/>
      <c r="G11" s="24"/>
      <c r="H11" s="34"/>
      <c r="I11" s="24"/>
      <c r="J11" s="37"/>
      <c r="K11" s="43"/>
      <c r="L11" s="72" t="str">
        <f aca="false">IF(OR(F11="",$F$7=""),"",F11-$F$7)</f>
        <v/>
      </c>
      <c r="M11" s="25" t="str">
        <f aca="false">IF(OR(I11="",$I$7="",$I$7=0),"",1-I11/$I$7)</f>
        <v/>
      </c>
      <c r="N11" s="18"/>
    </row>
    <row r="12" customFormat="false" ht="15.75" hidden="false" customHeight="true" outlineLevel="0" collapsed="false">
      <c r="A12" s="14" t="s">
        <v>1273</v>
      </c>
      <c r="B12" s="37" t="n">
        <v>0.96</v>
      </c>
      <c r="C12" s="48" t="n">
        <f aca="false">IF(OR(B12="",B12=0),"",60/B12)</f>
        <v>62.5</v>
      </c>
      <c r="D12" s="20" t="n">
        <f aca="false">IF(OR(B12="",$B$4=""),"",MAX(0,1-B12/$B$4))</f>
        <v>0</v>
      </c>
      <c r="E12" s="18"/>
      <c r="F12" s="24"/>
      <c r="G12" s="24"/>
      <c r="H12" s="34"/>
      <c r="I12" s="24"/>
      <c r="J12" s="37"/>
      <c r="K12" s="43"/>
      <c r="L12" s="72" t="str">
        <f aca="false">IF(OR(F12="",$F$7=""),"",F12-$F$7)</f>
        <v/>
      </c>
      <c r="M12" s="25" t="str">
        <f aca="false">IF(OR(I12="",$I$7="",$I$7=0),"",1-I12/$I$7)</f>
        <v/>
      </c>
      <c r="N12" s="18"/>
    </row>
  </sheetData>
  <dataValidations count="1">
    <dataValidation allowBlank="true" errorStyle="stop" operator="between" showDropDown="false" showErrorMessage="false" showInputMessage="false" sqref="E7:E12" type="list">
      <formula1>"Có,Không"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6" min="4" style="0" width="13"/>
    <col collapsed="false" customWidth="true" hidden="false" outlineLevel="0" max="7" min="7" style="0" width="40"/>
  </cols>
  <sheetData>
    <row r="1" customFormat="false" ht="17.25" hidden="false" customHeight="true" outlineLevel="0" collapsed="false">
      <c r="A1" s="2" t="s">
        <v>1274</v>
      </c>
    </row>
    <row r="2" customFormat="false" ht="15" hidden="false" customHeight="true" outlineLevel="0" collapsed="false">
      <c r="A2" s="3" t="s">
        <v>1275</v>
      </c>
    </row>
    <row r="4" customFormat="false" ht="15.75" hidden="false" customHeight="true" outlineLevel="0" collapsed="false">
      <c r="A4" s="60" t="s">
        <v>834</v>
      </c>
    </row>
    <row r="5" customFormat="false" ht="28.5" hidden="false" customHeight="true" outlineLevel="0" collapsed="false">
      <c r="B5" s="14" t="s">
        <v>1276</v>
      </c>
      <c r="C5" s="55"/>
      <c r="D5" s="55"/>
      <c r="E5" s="55"/>
      <c r="F5" s="55"/>
      <c r="G5" s="14" t="s">
        <v>416</v>
      </c>
    </row>
    <row r="6" customFormat="false" ht="28.5" hidden="false" customHeight="true" outlineLevel="0" collapsed="false">
      <c r="B6" s="14" t="s">
        <v>417</v>
      </c>
      <c r="C6" s="55"/>
      <c r="D6" s="55"/>
      <c r="E6" s="55"/>
      <c r="F6" s="55"/>
      <c r="G6" s="14" t="s">
        <v>1277</v>
      </c>
    </row>
    <row r="7" customFormat="false" ht="28.5" hidden="false" customHeight="true" outlineLevel="0" collapsed="false">
      <c r="B7" s="14" t="s">
        <v>1278</v>
      </c>
      <c r="C7" s="55"/>
      <c r="D7" s="55"/>
      <c r="E7" s="55"/>
      <c r="F7" s="55"/>
      <c r="G7" s="14"/>
    </row>
    <row r="8" customFormat="false" ht="28.5" hidden="false" customHeight="true" outlineLevel="0" collapsed="false">
      <c r="B8" s="14" t="s">
        <v>1279</v>
      </c>
      <c r="C8" s="55"/>
      <c r="D8" s="55"/>
      <c r="E8" s="55"/>
      <c r="F8" s="55"/>
      <c r="G8" s="14" t="s">
        <v>1280</v>
      </c>
    </row>
    <row r="9" customFormat="false" ht="15.75" hidden="false" customHeight="true" outlineLevel="0" collapsed="false">
      <c r="B9" s="14" t="s">
        <v>1281</v>
      </c>
      <c r="C9" s="55"/>
      <c r="D9" s="55"/>
      <c r="E9" s="55"/>
      <c r="F9" s="55"/>
      <c r="G9" s="14" t="s">
        <v>1282</v>
      </c>
    </row>
    <row r="10" customFormat="false" ht="15.75" hidden="false" customHeight="true" outlineLevel="0" collapsed="false"/>
    <row r="11" customFormat="false" ht="15.75" hidden="false" customHeight="true" outlineLevel="0" collapsed="false">
      <c r="A11" s="60" t="s">
        <v>1283</v>
      </c>
    </row>
    <row r="12" customFormat="false" ht="15.75" hidden="false" customHeight="true" outlineLevel="0" collapsed="false">
      <c r="A12" s="52" t="s">
        <v>1284</v>
      </c>
    </row>
    <row r="13" customFormat="false" ht="15.75" hidden="false" customHeight="true" outlineLevel="0" collapsed="false">
      <c r="B13" s="14" t="s">
        <v>1285</v>
      </c>
      <c r="C13" s="13" t="s">
        <v>297</v>
      </c>
      <c r="D13" s="35" t="n">
        <v>20</v>
      </c>
    </row>
    <row r="14" customFormat="false" ht="15.75" hidden="false" customHeight="true" outlineLevel="0" collapsed="false">
      <c r="B14" s="14" t="s">
        <v>1286</v>
      </c>
      <c r="C14" s="13" t="s">
        <v>297</v>
      </c>
      <c r="D14" s="35" t="n">
        <v>80</v>
      </c>
    </row>
    <row r="15" customFormat="false" ht="28.5" hidden="false" customHeight="true" outlineLevel="0" collapsed="false">
      <c r="A15" s="12" t="s">
        <v>74</v>
      </c>
      <c r="B15" s="12" t="s">
        <v>1287</v>
      </c>
      <c r="C15" s="12" t="s">
        <v>1288</v>
      </c>
      <c r="D15" s="12" t="s">
        <v>1289</v>
      </c>
      <c r="E15" s="12" t="s">
        <v>1290</v>
      </c>
      <c r="F15" s="12" t="s">
        <v>269</v>
      </c>
      <c r="G15" s="12" t="s">
        <v>89</v>
      </c>
    </row>
    <row r="16" customFormat="false" ht="15.75" hidden="false" customHeight="true" outlineLevel="0" collapsed="false">
      <c r="A16" s="13" t="s">
        <v>1291</v>
      </c>
      <c r="B16" s="14" t="s">
        <v>1292</v>
      </c>
      <c r="C16" s="55" t="s">
        <v>1293</v>
      </c>
      <c r="D16" s="35" t="n">
        <v>2</v>
      </c>
      <c r="E16" s="35" t="n">
        <v>5</v>
      </c>
      <c r="F16" s="13" t="str">
        <f aca="false">IF(OR(D16="",E16=""),"",IF(AND(ABS(D16)&lt;=$D$13,ABS(E16)&lt;=$D$14),"Đạt","Không đạt"))</f>
        <v>Đạt</v>
      </c>
      <c r="G16" s="18"/>
    </row>
    <row r="17" customFormat="false" ht="15.75" hidden="false" customHeight="true" outlineLevel="0" collapsed="false">
      <c r="A17" s="13" t="s">
        <v>1294</v>
      </c>
      <c r="B17" s="14" t="s">
        <v>1295</v>
      </c>
      <c r="C17" s="55" t="s">
        <v>1293</v>
      </c>
      <c r="D17" s="34"/>
      <c r="E17" s="34"/>
      <c r="F17" s="13" t="str">
        <f aca="false">IF(OR(D17="",E17=""),"",IF(AND(ABS(D17)&lt;=$D$13,ABS(E17)&lt;=$D$14),"Đạt","Không đạt"))</f>
        <v/>
      </c>
      <c r="G17" s="18"/>
    </row>
    <row r="18" customFormat="false" ht="15.75" hidden="false" customHeight="true" outlineLevel="0" collapsed="false">
      <c r="A18" s="13" t="s">
        <v>1296</v>
      </c>
      <c r="B18" s="14" t="s">
        <v>1297</v>
      </c>
      <c r="C18" s="55" t="s">
        <v>1298</v>
      </c>
      <c r="D18" s="34"/>
      <c r="E18" s="34"/>
      <c r="F18" s="13" t="str">
        <f aca="false">IF(OR(D18="",E18=""),"",IF(AND(ABS(D18)&lt;=$D$13,ABS(E18)&lt;=$D$14),"Đạt","Không đạt"))</f>
        <v/>
      </c>
      <c r="G18" s="18"/>
    </row>
    <row r="19" customFormat="false" ht="15.75" hidden="false" customHeight="true" outlineLevel="0" collapsed="false">
      <c r="A19" s="13" t="s">
        <v>1299</v>
      </c>
      <c r="B19" s="14" t="s">
        <v>1300</v>
      </c>
      <c r="C19" s="55" t="s">
        <v>1301</v>
      </c>
      <c r="D19" s="34"/>
      <c r="E19" s="34"/>
      <c r="F19" s="13" t="str">
        <f aca="false">IF(OR(D19="",E19=""),"",IF(AND(ABS(D19)&lt;=$D$13,ABS(E19)&lt;=$D$14),"Đạt","Không đạt"))</f>
        <v/>
      </c>
      <c r="G19" s="18"/>
    </row>
    <row r="20" customFormat="false" ht="15.75" hidden="false" customHeight="true" outlineLevel="0" collapsed="false">
      <c r="A20" s="13" t="s">
        <v>1302</v>
      </c>
      <c r="B20" s="14" t="s">
        <v>1120</v>
      </c>
      <c r="C20" s="55" t="s">
        <v>1303</v>
      </c>
      <c r="D20" s="34"/>
      <c r="E20" s="34"/>
      <c r="F20" s="13" t="str">
        <f aca="false">IF(OR(D20="",E20=""),"",IF(AND(ABS(D20)&lt;=$D$13,ABS(E20)&lt;=$D$14),"Đạt","Không đạt"))</f>
        <v/>
      </c>
      <c r="G20" s="18"/>
    </row>
    <row r="21" customFormat="false" ht="15.75" hidden="false" customHeight="true" outlineLevel="0" collapsed="false">
      <c r="A21" s="13" t="s">
        <v>1304</v>
      </c>
      <c r="B21" s="14" t="s">
        <v>1305</v>
      </c>
      <c r="C21" s="55"/>
      <c r="D21" s="34"/>
      <c r="E21" s="34"/>
      <c r="F21" s="13" t="str">
        <f aca="false">IF(OR(D21="",E21=""),"",IF(AND(ABS(D21)&lt;=$D$13,ABS(E21)&lt;=$D$14),"Đạt","Không đạt"))</f>
        <v/>
      </c>
      <c r="G21" s="18"/>
    </row>
    <row r="22" customFormat="false" ht="15.75" hidden="false" customHeight="true" outlineLevel="0" collapsed="false">
      <c r="A22" s="13" t="s">
        <v>1306</v>
      </c>
      <c r="B22" s="14" t="s">
        <v>1307</v>
      </c>
      <c r="C22" s="55"/>
      <c r="D22" s="34"/>
      <c r="E22" s="34"/>
      <c r="F22" s="13" t="str">
        <f aca="false">IF(OR(D22="",E22=""),"",IF(AND(ABS(D22)&lt;=$D$13,ABS(E22)&lt;=$D$14),"Đạt","Không đạt"))</f>
        <v/>
      </c>
      <c r="G22" s="18"/>
    </row>
    <row r="23" customFormat="false" ht="15.75" hidden="false" customHeight="true" outlineLevel="0" collapsed="false">
      <c r="A23" s="13" t="s">
        <v>1308</v>
      </c>
      <c r="B23" s="14" t="s">
        <v>1309</v>
      </c>
      <c r="C23" s="55" t="s">
        <v>1310</v>
      </c>
      <c r="D23" s="34"/>
      <c r="E23" s="34"/>
      <c r="F23" s="13" t="str">
        <f aca="false">IF(OR(D23="",E23=""),"",IF(AND(ABS(D23)&lt;=$D$13,ABS(E23)&lt;=$D$14),"Đạt","Không đạt"))</f>
        <v/>
      </c>
      <c r="G23" s="18"/>
    </row>
    <row r="24" customFormat="false" ht="15.75" hidden="false" customHeight="true" outlineLevel="0" collapsed="false"/>
    <row r="25" customFormat="false" ht="15.75" hidden="false" customHeight="true" outlineLevel="0" collapsed="false">
      <c r="A25" s="60" t="s">
        <v>1311</v>
      </c>
    </row>
    <row r="26" customFormat="false" ht="15.75" hidden="false" customHeight="true" outlineLevel="0" collapsed="false">
      <c r="A26" s="12" t="s">
        <v>74</v>
      </c>
      <c r="B26" s="12" t="s">
        <v>1312</v>
      </c>
      <c r="C26" s="12" t="s">
        <v>1135</v>
      </c>
      <c r="D26" s="12"/>
      <c r="E26" s="12"/>
      <c r="F26" s="12" t="s">
        <v>1313</v>
      </c>
      <c r="G26" s="12" t="s">
        <v>89</v>
      </c>
    </row>
    <row r="27" customFormat="false" ht="15.75" hidden="false" customHeight="true" outlineLevel="0" collapsed="false">
      <c r="A27" s="13" t="s">
        <v>1314</v>
      </c>
      <c r="B27" s="14" t="s">
        <v>1315</v>
      </c>
      <c r="C27" s="14" t="s">
        <v>1316</v>
      </c>
      <c r="D27" s="14"/>
      <c r="E27" s="14"/>
      <c r="F27" s="18" t="s">
        <v>1141</v>
      </c>
      <c r="G27" s="18"/>
    </row>
    <row r="28" customFormat="false" ht="15.75" hidden="false" customHeight="true" outlineLevel="0" collapsed="false">
      <c r="A28" s="13" t="s">
        <v>1317</v>
      </c>
      <c r="B28" s="14" t="s">
        <v>1318</v>
      </c>
      <c r="C28" s="14" t="s">
        <v>1319</v>
      </c>
      <c r="D28" s="14"/>
      <c r="E28" s="14"/>
      <c r="F28" s="18" t="s">
        <v>1141</v>
      </c>
      <c r="G28" s="18"/>
    </row>
    <row r="29" customFormat="false" ht="15.75" hidden="false" customHeight="true" outlineLevel="0" collapsed="false">
      <c r="A29" s="13" t="s">
        <v>1320</v>
      </c>
      <c r="B29" s="14" t="s">
        <v>1321</v>
      </c>
      <c r="C29" s="14" t="s">
        <v>1322</v>
      </c>
      <c r="D29" s="14"/>
      <c r="E29" s="14"/>
      <c r="F29" s="18" t="s">
        <v>1141</v>
      </c>
      <c r="G29" s="18"/>
    </row>
    <row r="30" customFormat="false" ht="15.75" hidden="false" customHeight="true" outlineLevel="0" collapsed="false">
      <c r="A30" s="13" t="s">
        <v>1323</v>
      </c>
      <c r="B30" s="14" t="s">
        <v>1324</v>
      </c>
      <c r="C30" s="14" t="s">
        <v>1325</v>
      </c>
      <c r="D30" s="14"/>
      <c r="E30" s="14"/>
      <c r="F30" s="18" t="s">
        <v>1141</v>
      </c>
      <c r="G30" s="18"/>
    </row>
    <row r="31" customFormat="false" ht="15.75" hidden="false" customHeight="true" outlineLevel="0" collapsed="false">
      <c r="A31" s="13" t="s">
        <v>1326</v>
      </c>
      <c r="B31" s="14" t="s">
        <v>1327</v>
      </c>
      <c r="C31" s="14" t="s">
        <v>1328</v>
      </c>
      <c r="D31" s="14"/>
      <c r="E31" s="14"/>
      <c r="F31" s="18" t="s">
        <v>1141</v>
      </c>
      <c r="G31" s="18"/>
    </row>
    <row r="32" customFormat="false" ht="15.75" hidden="false" customHeight="true" outlineLevel="0" collapsed="false">
      <c r="A32" s="13" t="s">
        <v>1329</v>
      </c>
      <c r="B32" s="14" t="s">
        <v>1330</v>
      </c>
      <c r="C32" s="14" t="s">
        <v>1331</v>
      </c>
      <c r="D32" s="14"/>
      <c r="E32" s="14"/>
      <c r="F32" s="18" t="s">
        <v>1141</v>
      </c>
      <c r="G32" s="18"/>
    </row>
    <row r="33" customFormat="false" ht="15.75" hidden="false" customHeight="true" outlineLevel="0" collapsed="false">
      <c r="A33" s="13" t="s">
        <v>1332</v>
      </c>
      <c r="B33" s="14" t="s">
        <v>1333</v>
      </c>
      <c r="C33" s="14" t="s">
        <v>1334</v>
      </c>
      <c r="D33" s="14"/>
      <c r="E33" s="14"/>
      <c r="F33" s="18" t="s">
        <v>1141</v>
      </c>
      <c r="G33" s="18"/>
    </row>
    <row r="34" customFormat="false" ht="15.75" hidden="false" customHeight="true" outlineLevel="0" collapsed="false">
      <c r="A34" s="13" t="s">
        <v>1335</v>
      </c>
      <c r="B34" s="14" t="s">
        <v>1336</v>
      </c>
      <c r="C34" s="14" t="s">
        <v>1337</v>
      </c>
      <c r="D34" s="14"/>
      <c r="E34" s="14"/>
      <c r="F34" s="18" t="s">
        <v>1141</v>
      </c>
      <c r="G34" s="18"/>
    </row>
    <row r="35" customFormat="false" ht="15.75" hidden="false" customHeight="true" outlineLevel="0" collapsed="false">
      <c r="A35" s="13" t="s">
        <v>1338</v>
      </c>
      <c r="B35" s="14" t="s">
        <v>1339</v>
      </c>
      <c r="C35" s="14" t="s">
        <v>1340</v>
      </c>
      <c r="D35" s="14"/>
      <c r="E35" s="14"/>
      <c r="F35" s="18" t="s">
        <v>1141</v>
      </c>
      <c r="G35" s="18"/>
    </row>
    <row r="36" customFormat="false" ht="15.75" hidden="false" customHeight="true" outlineLevel="0" collapsed="false">
      <c r="A36" s="13" t="s">
        <v>1341</v>
      </c>
      <c r="B36" s="14" t="s">
        <v>1342</v>
      </c>
      <c r="C36" s="14" t="s">
        <v>1343</v>
      </c>
      <c r="D36" s="14"/>
      <c r="E36" s="14"/>
      <c r="F36" s="18" t="s">
        <v>1141</v>
      </c>
      <c r="G36" s="18"/>
    </row>
    <row r="37" customFormat="false" ht="15.75" hidden="false" customHeight="true" outlineLevel="0" collapsed="false"/>
    <row r="38" customFormat="false" ht="15.75" hidden="false" customHeight="true" outlineLevel="0" collapsed="false">
      <c r="A38" s="60" t="s">
        <v>1344</v>
      </c>
    </row>
    <row r="39" customFormat="false" ht="15.75" hidden="false" customHeight="true" outlineLevel="0" collapsed="false">
      <c r="A39" s="12"/>
      <c r="B39" s="12" t="s">
        <v>944</v>
      </c>
      <c r="C39" s="12" t="s">
        <v>259</v>
      </c>
      <c r="D39" s="12" t="s">
        <v>1345</v>
      </c>
      <c r="E39" s="12"/>
      <c r="F39" s="12"/>
      <c r="G39" s="12" t="s">
        <v>89</v>
      </c>
    </row>
    <row r="40" customFormat="false" ht="15.75" hidden="false" customHeight="true" outlineLevel="0" collapsed="false">
      <c r="B40" s="14" t="s">
        <v>1346</v>
      </c>
      <c r="C40" s="13" t="s">
        <v>297</v>
      </c>
      <c r="D40" s="49"/>
      <c r="E40" s="49"/>
      <c r="F40" s="49"/>
      <c r="G40" s="14" t="s">
        <v>1347</v>
      </c>
    </row>
    <row r="41" customFormat="false" ht="15.75" hidden="false" customHeight="true" outlineLevel="0" collapsed="false">
      <c r="B41" s="14" t="s">
        <v>1348</v>
      </c>
      <c r="C41" s="13" t="s">
        <v>327</v>
      </c>
      <c r="D41" s="49"/>
      <c r="E41" s="49"/>
      <c r="F41" s="49"/>
      <c r="G41" s="14"/>
    </row>
    <row r="42" customFormat="false" ht="15.75" hidden="false" customHeight="true" outlineLevel="0" collapsed="false">
      <c r="B42" s="14" t="s">
        <v>1349</v>
      </c>
      <c r="C42" s="13" t="s">
        <v>285</v>
      </c>
      <c r="D42" s="27" t="str">
        <f aca="false">IF(OR(D40="",Performance!C34="",Performance!C34=0),"",D40/Performance!C34)</f>
        <v/>
      </c>
      <c r="E42" s="27"/>
      <c r="F42" s="27"/>
      <c r="G42" s="14" t="s">
        <v>1350</v>
      </c>
    </row>
    <row r="43" customFormat="false" ht="15.75" hidden="false" customHeight="true" outlineLevel="0" collapsed="false"/>
    <row r="44" customFormat="false" ht="15.75" hidden="false" customHeight="true" outlineLevel="0" collapsed="false">
      <c r="B44" s="19" t="s">
        <v>699</v>
      </c>
      <c r="C44" s="19" t="s">
        <v>1351</v>
      </c>
      <c r="D44" s="19" t="s">
        <v>1352</v>
      </c>
    </row>
    <row r="45" customFormat="false" ht="15.75" hidden="false" customHeight="true" outlineLevel="0" collapsed="false">
      <c r="B45" s="14" t="s">
        <v>251</v>
      </c>
      <c r="C45" s="13" t="n">
        <f aca="false">COUNTIF(F16:F23,"Đạt")</f>
        <v>1</v>
      </c>
      <c r="D45" s="13" t="n">
        <f aca="false">COUNTIF(F27:F36,"Đạt")</f>
        <v>0</v>
      </c>
    </row>
    <row r="46" customFormat="false" ht="15.75" hidden="false" customHeight="true" outlineLevel="0" collapsed="false">
      <c r="B46" s="14" t="s">
        <v>253</v>
      </c>
      <c r="C46" s="13" t="n">
        <f aca="false">COUNTIF(F16:F23,"Không đạt")</f>
        <v>0</v>
      </c>
      <c r="D46" s="13" t="n">
        <f aca="false">COUNTIF(F27:F36,"Không đạt")</f>
        <v>0</v>
      </c>
    </row>
    <row r="47" customFormat="false" ht="15.75" hidden="false" customHeight="true" outlineLevel="0" collapsed="false">
      <c r="B47" s="14" t="s">
        <v>1141</v>
      </c>
      <c r="C47" s="13" t="n">
        <f aca="false">COUNTBLANK(D16:D23)</f>
        <v>7</v>
      </c>
      <c r="D47" s="13" t="n">
        <f aca="false">COUNTIF(F27:F36,"Chưa chạy")</f>
        <v>10</v>
      </c>
    </row>
  </sheetData>
  <mergeCells count="20">
    <mergeCell ref="C5:F5"/>
    <mergeCell ref="C6:F6"/>
    <mergeCell ref="C7:F7"/>
    <mergeCell ref="C8:F8"/>
    <mergeCell ref="C9:F9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D39:F39"/>
    <mergeCell ref="D40:F40"/>
    <mergeCell ref="D41:F41"/>
    <mergeCell ref="D42:F42"/>
  </mergeCells>
  <conditionalFormatting sqref="F16:F23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</conditionalFormatting>
  <conditionalFormatting sqref="F27:F36">
    <cfRule type="cellIs" priority="4" operator="equal" aboveAverage="0" equalAverage="0" bottom="0" percent="0" rank="0" text="" dxfId="0">
      <formula>"Đạt"</formula>
    </cfRule>
    <cfRule type="cellIs" priority="5" operator="equal" aboveAverage="0" equalAverage="0" bottom="0" percent="0" rank="0" text="" dxfId="1">
      <formula>"Không đạt"</formula>
    </cfRule>
  </conditionalFormatting>
  <dataValidations count="1">
    <dataValidation allowBlank="true" errorStyle="stop" operator="between" showDropDown="false" showErrorMessage="false" showInputMessage="false" sqref="F27:F36" type="list">
      <formula1>"Chưa chạy,Đạt,Không đạt,Không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2026-09-25T02:29:51Z</dcterms:created>
  <dc:creator>openpyxl</dc:creator>
  <dc:description/>
  <dc:language>en-US</dc:language>
  <cp:lastModifiedBy/>
  <dcterms:modified xsi:type="dcterms:W3CDTF">2026-09-25T08:41:18Z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