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" sheetId="1" state="visible" r:id="rId3"/>
    <sheet name="Quy trinh 8 buoc" sheetId="2" state="visible" r:id="rId4"/>
    <sheet name="Metrics" sheetId="3" state="visible" r:id="rId5"/>
    <sheet name="Kiem tra du lieu" sheetId="4" state="visible" r:id="rId6"/>
    <sheet name="Ablation" sheetId="5" state="visible" r:id="rId7"/>
    <sheet name="Bao cao category" sheetId="6" state="visible" r:id="rId8"/>
    <sheet name="Bieu do can v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Số minh họa, không phải kết quả thật. Ghi đè bằng kết quả của bạn.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FEC, MSC, OVER, NDS: số bin lỗi mỗi loại.</t>
        </r>
      </text>
    </comment>
    <comment ref="P4" authorId="0">
      <text>
        <r>
          <rPr>
            <sz val="10"/>
            <rFont val="Arial"/>
            <family val="2"/>
          </rPr>
          <t xml:space="preserve">% lỗi thật = (MSC+NDS)/(FEC+MSC+OVER+NDS).</t>
        </r>
      </text>
    </comment>
  </commentList>
</comments>
</file>

<file path=xl/sharedStrings.xml><?xml version="1.0" encoding="utf-8"?>
<sst xmlns="http://schemas.openxmlformats.org/spreadsheetml/2006/main" count="452" uniqueCount="354">
  <si>
    <t xml:space="preserve">Bảng tổng hợp đánh giá VAD – YAMNet, bin 0.5s</t>
  </si>
  <si>
    <t xml:space="preserve">Tổng hợp từ quy trình đánh giá và hướng dẫn kiểm tra chất lượng dữ liệu.</t>
  </si>
  <si>
    <t xml:space="preserve">Cách dùng</t>
  </si>
  <si>
    <t xml:space="preserve">Ô nền vàng</t>
  </si>
  <si>
    <t xml:space="preserve">Ô bạn điền (trạng thái, kết quả đo, số liệu).</t>
  </si>
  <si>
    <t xml:space="preserve">Ô nền xám</t>
  </si>
  <si>
    <t xml:space="preserve">Số liệu ví dụ minh họa — ghi đè bằng kết quả thật.</t>
  </si>
  <si>
    <t xml:space="preserve">Ô chữ đen không nền</t>
  </si>
  <si>
    <t xml:space="preserve">Công thức tự tính, không cần sửa.</t>
  </si>
  <si>
    <t xml:space="preserve">Các sheet</t>
  </si>
  <si>
    <t xml:space="preserve">Quy trinh 8 buoc</t>
  </si>
  <si>
    <t xml:space="preserve">8 bước đánh giá, đầu ra và công cụ; theo dõi tiến độ.</t>
  </si>
  <si>
    <t xml:space="preserve">Metrics</t>
  </si>
  <si>
    <t xml:space="preserve">Định nghĩa metric tầng A (điểm thô) và tầng B (sau hậu xử lý).</t>
  </si>
  <si>
    <t xml:space="preserve">Kiem tra du lieu</t>
  </si>
  <si>
    <t xml:space="preserve">Checklist 18 mục kiểm tra chất lượng dữ liệu (Bước 8).</t>
  </si>
  <si>
    <t xml:space="preserve">Ablation</t>
  </si>
  <si>
    <t xml:space="preserve">So sánh cấu hình hậu xử lý A0–A4, DCF tự tính.</t>
  </si>
  <si>
    <t xml:space="preserve">Bao cao category</t>
  </si>
  <si>
    <t xml:space="preserve">Mẫu báo cáo theo category: MR, FAR, loại lỗi, F1, DCF.</t>
  </si>
  <si>
    <t xml:space="preserve">Bieu do can ve</t>
  </si>
  <si>
    <t xml:space="preserve">Danh sách biểu đồ nên có.</t>
  </si>
  <si>
    <t xml:space="preserve">Tiến độ</t>
  </si>
  <si>
    <t xml:space="preserve">Tiến độ quy trình</t>
  </si>
  <si>
    <t xml:space="preserve">Checklist dữ liệu đã xong</t>
  </si>
  <si>
    <t xml:space="preserve">Số mục dữ liệu 'Không đạt'</t>
  </si>
  <si>
    <t xml:space="preserve">Lưu ý chính</t>
  </si>
  <si>
    <t xml:space="preserve">1</t>
  </si>
  <si>
    <t xml:space="preserve">AUC gộp trên dữ liệu thiết kế dễ bị thổi phồng — kiểm tra rò rỉ, file suy biến, alignment trước.</t>
  </si>
  <si>
    <t xml:space="preserve">2</t>
  </si>
  <si>
    <t xml:space="preserve">Chọn ngưỡng trên dev qua toàn pipeline, không chọn trên test.</t>
  </si>
  <si>
    <t xml:space="preserve">3</t>
  </si>
  <si>
    <t xml:space="preserve">CI bootstrap theo file / bản ghi gốc, không theo bin.</t>
  </si>
  <si>
    <t xml:space="preserve">4</t>
  </si>
  <si>
    <t xml:space="preserve">Ngưỡng cảnh báo là ngưỡng thực hành, cần hiệu chỉnh theo dữ liệu của bạn.</t>
  </si>
  <si>
    <t xml:space="preserve">Quy trình đánh giá VAD (bin 0.5s, có hậu xử lý)</t>
  </si>
  <si>
    <t xml:space="preserve">Cột vàng = bạn điền. Trạng thái chọn từ danh sách.</t>
  </si>
  <si>
    <t xml:space="preserve">Bước</t>
  </si>
  <si>
    <t xml:space="preserve">Tên bước</t>
  </si>
  <si>
    <t xml:space="preserve">Mục tiêu</t>
  </si>
  <si>
    <t xml:space="preserve">Việc cần làm</t>
  </si>
  <si>
    <t xml:space="preserve">Đầu ra</t>
  </si>
  <si>
    <t xml:space="preserve">Công cụ</t>
  </si>
  <si>
    <t xml:space="preserve">Trạng thái</t>
  </si>
  <si>
    <t xml:space="preserve">Ghi chú</t>
  </si>
  <si>
    <t xml:space="preserve">Chia dữ liệu</t>
  </si>
  <si>
    <t xml:space="preserve">Tránh rò rỉ, đánh giá trung thực</t>
  </si>
  <si>
    <t xml:space="preserve">Chia dev ~30% / test ~70% theo nguồn gốc bản ghi (không theo clip); phân tầng theo category; bổ sung tập thật/khó (tự thu hoặc AVA-Speech).</t>
  </si>
  <si>
    <t xml:space="preserve">Danh sách file dev/test + cột group</t>
  </si>
  <si>
    <t xml:space="preserve">sklearn StratifiedGroupKFold, GroupShuffleSplit</t>
  </si>
  <si>
    <t xml:space="preserve">Chưa làm</t>
  </si>
  <si>
    <t xml:space="preserve">Chuẩn hóa GT</t>
  </si>
  <si>
    <t xml:space="preserve">Nhãn bin 0.5s rõ ràng, có cờ biên</t>
  </si>
  <si>
    <t xml:space="preserve">Tính frac_speech mỗi bin; gắn cờ bin biên (±1 bin) và bin mơ hồ; quy tắc rebin model trùng quy tắc tạo GT; gắn metadata (category, SNR, loại nền, loại giọng).</t>
  </si>
  <si>
    <t xml:space="preserve">Bảng bin: file, bin, y, frac, is_boundary, is_ambiguous, metadata</t>
  </si>
  <si>
    <t xml:space="preserve">numpy, pandas</t>
  </si>
  <si>
    <t xml:space="preserve">Kiểm tra alignment &amp; rò rỉ</t>
  </si>
  <si>
    <t xml:space="preserve">Loại lỗi pipeline trước khi đo</t>
  </si>
  <si>
    <t xml:space="preserve">Chạy sheet 'Kiem tra du lieu' (mục 5a–5e, 2a–2c): ghép file, thời lượng, 16 kHz mono, offset +0.48s, quét shift ±1s.</t>
  </si>
  <si>
    <t xml:space="preserve">Bảng cờ theo file; đồ thị F1 theo shift</t>
  </si>
  <si>
    <t xml:space="preserve">vadqc.py, soundfile, librosa</t>
  </si>
  <si>
    <t xml:space="preserve">Tầng A – điểm thô</t>
  </si>
  <si>
    <t xml:space="preserve">Đo khả năng phân biệt nội tại</t>
  </si>
  <si>
    <t xml:space="preserve">ROC-AUC, PR-AUC, DET, TPR@FPR=1%/5%, reliability diagram; micro + macro theo file/category; trên 3 tập bin: tất cả / không biên / rõ ràng.</t>
  </si>
  <si>
    <t xml:space="preserve">Bảng metric tầng A + ROC/PR/DET</t>
  </si>
  <si>
    <t xml:space="preserve">sklearn.metrics</t>
  </si>
  <si>
    <t xml:space="preserve">Chọn ngưỡng trên dev</t>
  </si>
  <si>
    <t xml:space="preserve">Điểm vận hành phù hợp ứng dụng</t>
  </si>
  <si>
    <t xml:space="preserve">Quét ngưỡng qua TOÀN pipeline trên dev; tối thiểu DCF hoặc cố định FAR; ghi lại ngưỡng Youden tầng A để so sánh; bootstrap CI của ngưỡng.</t>
  </si>
  <si>
    <t xml:space="preserve">Ngưỡng cố định cho test + CI</t>
  </si>
  <si>
    <t xml:space="preserve">numpy, sklearn</t>
  </si>
  <si>
    <t xml:space="preserve">Tầng B – đầu ra cuối (test)</t>
  </si>
  <si>
    <t xml:space="preserve">Đo hiệu năng người dùng cảm nhận</t>
  </si>
  <si>
    <t xml:space="preserve">MR, FAR, F1, DCF, DetER ở 3 chế độ (strict / ±1 bin / chỉ biên); tách FEC/MSC/OVER/NDS; event-F1 (t_collar=0.5s); fragmentation/over-merge; histogram Δonset/Δoffset.</t>
  </si>
  <si>
    <t xml:space="preserve">Sheet 'Bao cao category' + đồ thị</t>
  </si>
  <si>
    <t xml:space="preserve">pyannote.metrics, sed_eval</t>
  </si>
  <si>
    <t xml:space="preserve">Ablation hậu xử lý</t>
  </si>
  <si>
    <t xml:space="preserve">Quy trách nhiệm lỗi model vs hậu xử lý</t>
  </si>
  <si>
    <t xml:space="preserve">Chạy A0–A4 và lưới quét pad/merge (sheet 'Ablation'); đếm riêng gap GT ≤1s bị lấp.</t>
  </si>
  <si>
    <t xml:space="preserve">Bảng ablation + heatmap F1(pad, merge)</t>
  </si>
  <si>
    <t xml:space="preserve">script nội bộ</t>
  </si>
  <si>
    <t xml:space="preserve">Báo cáo</t>
  </si>
  <si>
    <t xml:space="preserve">Kết quả có CI, phân tầng, có giải thích</t>
  </si>
  <si>
    <t xml:space="preserve">Mỗi metric kèm CI 95% bootstrap theo file; bảng per-category; top-K file lỗi đã nghe kiểm tra kèm nguyên nhân; báo cả số tổng hợp và số dữ liệu thật.</t>
  </si>
  <si>
    <t xml:space="preserve">Báo cáo cuối</t>
  </si>
  <si>
    <t xml:space="preserve">matplotlib</t>
  </si>
  <si>
    <t xml:space="preserve">Tỷ lệ = số bước 'Đạt' / số bước áp dụng</t>
  </si>
  <si>
    <t xml:space="preserve">Danh mục metric</t>
  </si>
  <si>
    <t xml:space="preserve">Tầng A = điểm thô trước hậu xử lý; Tầng B = đầu ra nhị phân sau hậu xử lý.</t>
  </si>
  <si>
    <t xml:space="preserve">Tầng</t>
  </si>
  <si>
    <t xml:space="preserve">Metric</t>
  </si>
  <si>
    <t xml:space="preserve">Định nghĩa / công thức</t>
  </si>
  <si>
    <t xml:space="preserve">Ý nghĩa</t>
  </si>
  <si>
    <t xml:space="preserve">Chế độ báo cáo</t>
  </si>
  <si>
    <t xml:space="preserve">A</t>
  </si>
  <si>
    <t xml:space="preserve">ROC-AUC</t>
  </si>
  <si>
    <t xml:space="preserve">Diện tích dưới đường ROC</t>
  </si>
  <si>
    <t xml:space="preserve">Khả năng xếp hạng speech &gt; non-speech</t>
  </si>
  <si>
    <t xml:space="preserve">roc_auc_score</t>
  </si>
  <si>
    <t xml:space="preserve">micro + macro; tất cả / không biên / rõ ràng</t>
  </si>
  <si>
    <t xml:space="preserve">PR-AUC (AP)</t>
  </si>
  <si>
    <t xml:space="preserve">Diện tích dưới đường Precision-Recall</t>
  </si>
  <si>
    <t xml:space="preserve">Phản ánh đúng hơn khi mất cân bằng lớp</t>
  </si>
  <si>
    <t xml:space="preserve">average_precision_score</t>
  </si>
  <si>
    <t xml:space="preserve">micro + macro</t>
  </si>
  <si>
    <t xml:space="preserve">DET curve</t>
  </si>
  <si>
    <t xml:space="preserve">FNR vs FPR trên trục normal deviate</t>
  </si>
  <si>
    <t xml:space="preserve">Chuẩn ngành speech, rõ vùng FAR thấp</t>
  </si>
  <si>
    <t xml:space="preserve">det_curve, DetCurveDisplay</t>
  </si>
  <si>
    <t xml:space="preserve">micro</t>
  </si>
  <si>
    <t xml:space="preserve">TPR @ FPR cố định</t>
  </si>
  <si>
    <t xml:space="preserve">TPR khi FPR = 1% / 5%</t>
  </si>
  <si>
    <t xml:space="preserve">Điểm vận hành thực tế</t>
  </si>
  <si>
    <t xml:space="preserve">roc_curve</t>
  </si>
  <si>
    <t xml:space="preserve">Calibration (ECE, Brier)</t>
  </si>
  <si>
    <t xml:space="preserve">Reliability diagram; Brier = mean((p−y)²)</t>
  </si>
  <si>
    <t xml:space="preserve">Score có dùng như xác suất được không</t>
  </si>
  <si>
    <t xml:space="preserve">calibration_curve, brier_score_loss</t>
  </si>
  <si>
    <t xml:space="preserve">B</t>
  </si>
  <si>
    <t xml:space="preserve">Miss rate (MR)</t>
  </si>
  <si>
    <t xml:space="preserve">FN / tổng bin speech GT</t>
  </si>
  <si>
    <t xml:space="preserve">Bỏ sót speech</t>
  </si>
  <si>
    <t xml:space="preserve">tự tính / pyannote</t>
  </si>
  <si>
    <t xml:space="preserve">strict / ±1 bin / chỉ biên</t>
  </si>
  <si>
    <t xml:space="preserve">False alarm rate (FAR)</t>
  </si>
  <si>
    <t xml:space="preserve">FP / tổng bin non-speech GT</t>
  </si>
  <si>
    <t xml:space="preserve">Báo nhầm speech</t>
  </si>
  <si>
    <t xml:space="preserve">Precision / Recall / F1</t>
  </si>
  <si>
    <t xml:space="preserve">Theo bin, lớp speech</t>
  </si>
  <si>
    <t xml:space="preserve">Chất lượng tổng thể</t>
  </si>
  <si>
    <t xml:space="preserve">sklearn</t>
  </si>
  <si>
    <t xml:space="preserve">strict / ±1 bin</t>
  </si>
  <si>
    <t xml:space="preserve">Specificity, Balanced acc.</t>
  </si>
  <si>
    <t xml:space="preserve">TN/(TN+FP); (TPR+TNR)/2</t>
  </si>
  <si>
    <t xml:space="preserve">Ít phụ thuộc tỉ lệ lớp</t>
  </si>
  <si>
    <t xml:space="preserve">Detection Error Rate</t>
  </si>
  <si>
    <t xml:space="preserve">(FA + Miss) / tổng speech</t>
  </si>
  <si>
    <t xml:space="preserve">Chuẩn pyannote</t>
  </si>
  <si>
    <t xml:space="preserve">pyannote DetectionErrorRate(collar=1.0)</t>
  </si>
  <si>
    <t xml:space="preserve">strict / collar</t>
  </si>
  <si>
    <t xml:space="preserve">DCF</t>
  </si>
  <si>
    <t xml:space="preserve">0.75·MR + 0.25·FAR</t>
  </si>
  <si>
    <t xml:space="preserve">Chuẩn NIST OpenSAT, phạt miss nặng hơn</t>
  </si>
  <si>
    <t xml:space="preserve">pyannote DetectionCostFunction</t>
  </si>
  <si>
    <t xml:space="preserve">FEC / MSC / OVER / NDS</t>
  </si>
  <si>
    <t xml:space="preserve">Cắt đầu / cắt giữa / kéo dài sau / nhiễu thành speech</t>
  </si>
  <si>
    <t xml:space="preserve">Tách lỗi biên (FEC, OVER) và lỗi thật (MSC, NDS)</t>
  </si>
  <si>
    <t xml:space="preserve">tự tính</t>
  </si>
  <si>
    <t xml:space="preserve">theo category</t>
  </si>
  <si>
    <t xml:space="preserve">Event-F1</t>
  </si>
  <si>
    <t xml:space="preserve">sed_eval EventBasedMetrics(t_collar=0.5, percentage_of_length=0.5)</t>
  </si>
  <si>
    <t xml:space="preserve">Chất lượng theo đoạn</t>
  </si>
  <si>
    <t xml:space="preserve">sed_eval</t>
  </si>
  <si>
    <t xml:space="preserve">onset+offset; onset-only</t>
  </si>
  <si>
    <t xml:space="preserve">Fragmentation / over-merge</t>
  </si>
  <si>
    <t xml:space="preserve">#đoạn dự đoán / #đoạn GT; purity, coverage</t>
  </si>
  <si>
    <t xml:space="preserve">Phân mảnh hay gộp quá tay</t>
  </si>
  <si>
    <t xml:space="preserve">pyannote SegmentationPurity/Coverage</t>
  </si>
  <si>
    <t xml:space="preserve">Δonset / Δoffset</t>
  </si>
  <si>
    <t xml:space="preserve">onset_pred − onset_gt (tương tự offset)</t>
  </si>
  <si>
    <t xml:space="preserve">Độ lệch biên có hệ thống (do pad/merge)</t>
  </si>
  <si>
    <t xml:space="preserve">histogram</t>
  </si>
  <si>
    <t xml:space="preserve">Checklist kiểm tra chất lượng dữ liệu (Bước 8)</t>
  </si>
  <si>
    <t xml:space="preserve">Thứ tự khuyến nghị: 5 → 1 → 2 → 3 → 4. Ngưỡng là ngưỡng thực hành, hãy tự hiệu chỉnh. Cột vàng = bạn điền.</t>
  </si>
  <si>
    <t xml:space="preserve">Mã</t>
  </si>
  <si>
    <t xml:space="preserve">Nhóm</t>
  </si>
  <si>
    <t xml:space="preserve">Kiểm tra</t>
  </si>
  <si>
    <t xml:space="preserve">Cách đo</t>
  </si>
  <si>
    <t xml:space="preserve">Ngưỡng cảnh báo</t>
  </si>
  <si>
    <t xml:space="preserve">Hành động khi bị gắn cờ</t>
  </si>
  <si>
    <t xml:space="preserve">Kết quả đo</t>
  </si>
  <si>
    <t xml:space="preserve">5a</t>
  </si>
  <si>
    <t xml:space="preserve">Căn chỉnh</t>
  </si>
  <si>
    <t xml:space="preserve">Ghép file Model↔GT</t>
  </si>
  <si>
    <t xml:space="preserve">pair_files: thiếu, dư, sai category</t>
  </si>
  <si>
    <t xml:space="preserve">Bất kỳ lỗi nào</t>
  </si>
  <si>
    <t xml:space="preserve">Sửa tên/đường dẫn trước mọi bước khác</t>
  </si>
  <si>
    <t xml:space="preserve">5b</t>
  </si>
  <si>
    <t xml:space="preserve">Thời lượng / số bin</t>
  </si>
  <si>
    <t xml:space="preserve">wav_dur vs n_bins×0.5; last_end của model</t>
  </si>
  <si>
    <t xml:space="preserve">Lệch &gt; 1 bin</t>
  </si>
  <si>
    <t xml:space="preserve">Kiểm tra cắt clip, padding cuối file</t>
  </si>
  <si>
    <t xml:space="preserve">5c</t>
  </si>
  <si>
    <t xml:space="preserve">Định dạng audio</t>
  </si>
  <si>
    <t xml:space="preserve">sr = 16000, mono, biên độ [-1,1]</t>
  </si>
  <si>
    <t xml:space="preserve">Khác</t>
  </si>
  <si>
    <t xml:space="preserve">Resample (librosa), chạy lại YAMNet</t>
  </si>
  <si>
    <t xml:space="preserve">5d</t>
  </si>
  <si>
    <t xml:space="preserve">Hop / cửa sổ</t>
  </si>
  <si>
    <t xml:space="preserve">diff(start) = 0.08; end − start = 0.96</t>
  </si>
  <si>
    <t xml:space="preserve">Sai</t>
  </si>
  <si>
    <t xml:space="preserve">Sửa script xuất file</t>
  </si>
  <si>
    <t xml:space="preserve">5e</t>
  </si>
  <si>
    <t xml:space="preserve">Offset tâm cửa sổ</t>
  </si>
  <si>
    <t xml:space="preserve">Quét shift ±1s, bước 0.08s; cross-correlation theo file</t>
  </si>
  <si>
    <t xml:space="preserve">Đỉnh F1 lệch 0 quá ±0.08s</t>
  </si>
  <si>
    <t xml:space="preserve">Cộng +0.48s; đánh giá lại</t>
  </si>
  <si>
    <t xml:space="preserve">1a</t>
  </si>
  <si>
    <t xml:space="preserve">Phân bố</t>
  </si>
  <si>
    <t xml:space="preserve">File suy biến</t>
  </si>
  <si>
    <t xml:space="preserve">Tỉ lệ speech = 0 hoặc 1</t>
  </si>
  <si>
    <t xml:space="preserve">&gt; 5–10% số file</t>
  </si>
  <si>
    <t xml:space="preserve">Loại khỏi chỉ số per-file; báo riêng</t>
  </si>
  <si>
    <t xml:space="preserve">1b</t>
  </si>
  <si>
    <t xml:space="preserve">File cực đoan</t>
  </si>
  <si>
    <t xml:space="preserve">Tỉ lệ speech &lt; 0.1 hoặc &gt; 0.9</t>
  </si>
  <si>
    <t xml:space="preserve">&gt; 30% số file</t>
  </si>
  <si>
    <t xml:space="preserve">Cân bằng lại khi sinh dữ liệu</t>
  </si>
  <si>
    <t xml:space="preserve">1c</t>
  </si>
  <si>
    <t xml:space="preserve">Độ phức tạp thời gian</t>
  </si>
  <si>
    <t xml:space="preserve">#transitions, độ dài đoạn, % bin biên</t>
  </si>
  <si>
    <t xml:space="preserve">Trung vị transitions ≤ 1</t>
  </si>
  <si>
    <t xml:space="preserve">Thêm clip nhiều chuyển trạng thái</t>
  </si>
  <si>
    <t xml:space="preserve">1d</t>
  </si>
  <si>
    <t xml:space="preserve">AUC pooled vs theo file</t>
  </si>
  <si>
    <t xml:space="preserve">Chênh lệch; AUC file tệ nhất</t>
  </si>
  <si>
    <t xml:space="preserve">Chênh &gt; 0.005; file &lt; 0.9</t>
  </si>
  <si>
    <t xml:space="preserve">Xem timeline các file tệ</t>
  </si>
  <si>
    <t xml:space="preserve">2a</t>
  </si>
  <si>
    <t xml:space="preserve">Rò rỉ</t>
  </si>
  <si>
    <t xml:space="preserve">Rò rỉ theo metadata</t>
  </si>
  <si>
    <t xml:space="preserve">Union-find trên speech_src/noise_src/speaker; #nhóm vắt qua 2 phía</t>
  </si>
  <si>
    <t xml:space="preserve">&gt; 0</t>
  </si>
  <si>
    <t xml:space="preserve">Chia lại bằng StratifiedGroupKFold</t>
  </si>
  <si>
    <t xml:space="preserve">2b</t>
  </si>
  <si>
    <t xml:space="preserve">Trùng / gần trùng</t>
  </si>
  <si>
    <t xml:space="preserve">MD5, Chromaprint, cosine embedding YAMNet</t>
  </si>
  <si>
    <t xml:space="preserve">Vượt τ đã hiệu chỉnh</t>
  </si>
  <si>
    <t xml:space="preserve">Gộp nhóm hoặc bỏ khỏi test</t>
  </si>
  <si>
    <t xml:space="preserve">2c</t>
  </si>
  <si>
    <t xml:space="preserve">Tác động của rò rỉ</t>
  </si>
  <si>
    <t xml:space="preserve">AUC nhóm 'đã thấy' vs 'mới'; retrain theo nhóm</t>
  </si>
  <si>
    <t xml:space="preserve">ΔAUC ≥ 0.01</t>
  </si>
  <si>
    <t xml:space="preserve">Báo con số sau khi chia theo nhóm</t>
  </si>
  <si>
    <t xml:space="preserve">3a</t>
  </si>
  <si>
    <t xml:space="preserve">Nhãn</t>
  </si>
  <si>
    <t xml:space="preserve">Đồng thuận nhãn</t>
  </si>
  <si>
    <t xml:space="preserve">Cohen/Fleiss κ (biên vs trong), PABAK, lệch biên (ms)</t>
  </si>
  <si>
    <t xml:space="preserve">κ trong &lt; 0.9; median lệch &gt; 250ms</t>
  </si>
  <si>
    <t xml:space="preserve">Viết lại hướng dẫn, gán nhãn lại</t>
  </si>
  <si>
    <t xml:space="preserve">3b</t>
  </si>
  <si>
    <t xml:space="preserve">Nhãn đáng ngờ</t>
  </si>
  <si>
    <t xml:space="preserve">cleanlab (out-of-fold) + quy tắc tự tin</t>
  </si>
  <si>
    <t xml:space="preserve">—</t>
  </si>
  <si>
    <t xml:space="preserve">Nghe lại 30–50 bin đầu danh sách</t>
  </si>
  <si>
    <t xml:space="preserve">4a</t>
  </si>
  <si>
    <t xml:space="preserve">Độ khó</t>
  </si>
  <si>
    <t xml:space="preserve">Độ tách điểm số</t>
  </si>
  <si>
    <t xml:space="preserve">% bin 0.1&lt;p&lt;0.9; đường F1 theo ngưỡng</t>
  </si>
  <si>
    <t xml:space="preserve">&lt; 2% và F1 phẳng</t>
  </si>
  <si>
    <t xml:space="preserve">Thêm hard negative / SNR thấp</t>
  </si>
  <si>
    <t xml:space="preserve">4b</t>
  </si>
  <si>
    <t xml:space="preserve">Hard negative</t>
  </si>
  <si>
    <t xml:space="preserve">Số giây theo loại non-speech</t>
  </si>
  <si>
    <t xml:space="preserve">Không có nhạc có lời/TV/cười</t>
  </si>
  <si>
    <t xml:space="preserve">Bổ sung (vd. MUSAN có vocal)</t>
  </si>
  <si>
    <t xml:space="preserve">4c</t>
  </si>
  <si>
    <t xml:space="preserve">Phân bố SNR</t>
  </si>
  <si>
    <t xml:space="preserve">Histogram SNR; AUC theo bucket</t>
  </si>
  <si>
    <t xml:space="preserve">&gt; 80% ở trên 15 dB</t>
  </si>
  <si>
    <t xml:space="preserve">Sinh thêm dữ liệu 0–10 dB</t>
  </si>
  <si>
    <t xml:space="preserve">4d</t>
  </si>
  <si>
    <t xml:space="preserve">Kiểm chứng thực tế</t>
  </si>
  <si>
    <t xml:space="preserve">Đánh giá trên bộ test thật</t>
  </si>
  <si>
    <t xml:space="preserve">Chênh lớn so với dữ liệu tổng hợp</t>
  </si>
  <si>
    <t xml:space="preserve">Báo cả hai; ưu tiên số thực</t>
  </si>
  <si>
    <t xml:space="preserve">Tổng hợp</t>
  </si>
  <si>
    <t xml:space="preserve">Đạt</t>
  </si>
  <si>
    <t xml:space="preserve">Không đạt</t>
  </si>
  <si>
    <t xml:space="preserve">Đang làm</t>
  </si>
  <si>
    <t xml:space="preserve">Không áp dụng</t>
  </si>
  <si>
    <t xml:space="preserve">% hoàn thành</t>
  </si>
  <si>
    <t xml:space="preserve">Điền MR, FAR, F1 (dạng thập phân, vd 0.05 = 5%). DCF và Δ được tính tự động. Hàng xám = ví dụ minh họa, hãy ghi đè.</t>
  </si>
  <si>
    <t xml:space="preserve">Cấu hình</t>
  </si>
  <si>
    <t xml:space="preserve">Rescore</t>
  </si>
  <si>
    <t xml:space="preserve">Pad trước (ms)</t>
  </si>
  <si>
    <t xml:space="preserve">Pad sau (ms)</t>
  </si>
  <si>
    <t xml:space="preserve">Merge gap (ms)</t>
  </si>
  <si>
    <t xml:space="preserve">Rebin</t>
  </si>
  <si>
    <t xml:space="preserve">MR</t>
  </si>
  <si>
    <t xml:space="preserve">FAR</t>
  </si>
  <si>
    <t xml:space="preserve">F1 strict</t>
  </si>
  <si>
    <t xml:space="preserve">F1 ±1 bin</t>
  </si>
  <si>
    <t xml:space="preserve">ΔDCF so với A0</t>
  </si>
  <si>
    <t xml:space="preserve">A0 – thô</t>
  </si>
  <si>
    <t xml:space="preserve">–</t>
  </si>
  <si>
    <t xml:space="preserve">midpoint → bin</t>
  </si>
  <si>
    <t xml:space="preserve">A1</t>
  </si>
  <si>
    <t xml:space="preserve">✓</t>
  </si>
  <si>
    <t xml:space="preserve">A2</t>
  </si>
  <si>
    <t xml:space="preserve">A3</t>
  </si>
  <si>
    <t xml:space="preserve">A4 – hiện tại</t>
  </si>
  <si>
    <t xml:space="preserve">Lưới quét đề xuất: pad trước {0, 50, 100, 200} ms × pad sau {0, 60, 120, 240} ms × merge gap {0, 250, 500, 750, 1000} ms.</t>
  </si>
  <si>
    <t xml:space="preserve">Đọc kết quả: MSC/NDS cao từ A0 → lỗi model. FAR tăng từ A2→A4, tập trung ở offset → do pad/merge. Merge &lt; 500ms dễ lấp khoảng lặng dài 1 bin.</t>
  </si>
  <si>
    <t xml:space="preserve">Báo cáo theo category (tầng B, trên test)</t>
  </si>
  <si>
    <t xml:space="preserve">Điền số liệu theo category. DCF, lỗi biên tính tự động. Hàng xám = ví dụ minh họa.</t>
  </si>
  <si>
    <t xml:space="preserve">Category</t>
  </si>
  <si>
    <t xml:space="preserve">#file</t>
  </si>
  <si>
    <t xml:space="preserve">% speech</t>
  </si>
  <si>
    <t xml:space="preserve">FEC</t>
  </si>
  <si>
    <t xml:space="preserve">MSC</t>
  </si>
  <si>
    <t xml:space="preserve">OVER</t>
  </si>
  <si>
    <t xml:space="preserve">NDS</t>
  </si>
  <si>
    <t xml:space="preserve">F1 CI thấp</t>
  </si>
  <si>
    <t xml:space="preserve">F1 CI cao</t>
  </si>
  <si>
    <t xml:space="preserve">Phần F1 mất do biên</t>
  </si>
  <si>
    <t xml:space="preserve">% lỗi thật</t>
  </si>
  <si>
    <t xml:space="preserve">Asm (ví dụ)</t>
  </si>
  <si>
    <t xml:space="preserve">Macro (TB)</t>
  </si>
  <si>
    <t xml:space="preserve">Tô vàng 'Phần F1 mất do biên' &gt; 3 điểm: phần lớn lỗi nằm ở định vị biên, không phải phân loại.</t>
  </si>
  <si>
    <t xml:space="preserve">Danh sách biểu đồ nên có</t>
  </si>
  <si>
    <t xml:space="preserve">#</t>
  </si>
  <si>
    <t xml:space="preserve">Biểu đồ</t>
  </si>
  <si>
    <t xml:space="preserve">Thuộc bước</t>
  </si>
  <si>
    <t xml:space="preserve">Mục đích</t>
  </si>
  <si>
    <t xml:space="preserve">Đã vẽ?</t>
  </si>
  <si>
    <t xml:space="preserve">ROC &amp; PR chồng theo category</t>
  </si>
  <si>
    <t xml:space="preserve">So sánh khả năng phân biệt giữa category</t>
  </si>
  <si>
    <t xml:space="preserve">Chưa</t>
  </si>
  <si>
    <t xml:space="preserve">DET curve (trục normal deviate)</t>
  </si>
  <si>
    <t xml:space="preserve">Xem vùng FAR thấp</t>
  </si>
  <si>
    <t xml:space="preserve">Reliability diagram</t>
  </si>
  <si>
    <t xml:space="preserve">Kiểm tra hiệu chỉnh score</t>
  </si>
  <si>
    <t xml:space="preserve">MR/FAR theo ngưỡng (trước &amp; sau hậu xử lý)</t>
  </si>
  <si>
    <t xml:space="preserve">5</t>
  </si>
  <si>
    <t xml:space="preserve">Thấy hậu xử lý dịch điểm vận hành</t>
  </si>
  <si>
    <t xml:space="preserve">Bar lỗi biên vs lỗi thật theo category</t>
  </si>
  <si>
    <t xml:space="preserve">6</t>
  </si>
  <si>
    <t xml:space="preserve">Tách nguồn lỗi</t>
  </si>
  <si>
    <t xml:space="preserve">Histogram Δonset / Δoffset</t>
  </si>
  <si>
    <t xml:space="preserve">Phát hiện lệch biên có hệ thống</t>
  </si>
  <si>
    <t xml:space="preserve">Heatmap F1 theo (pad, merge gap)</t>
  </si>
  <si>
    <t xml:space="preserve">7</t>
  </si>
  <si>
    <t xml:space="preserve">Chọn tham số hậu xử lý</t>
  </si>
  <si>
    <t xml:space="preserve">Forest plot metric theo category kèm CI</t>
  </si>
  <si>
    <t xml:space="preserve">8</t>
  </si>
  <si>
    <t xml:space="preserve">Báo cáo có độ bất định</t>
  </si>
  <si>
    <t xml:space="preserve">Histogram tỉ lệ speech mỗi file + boxplot category</t>
  </si>
  <si>
    <t xml:space="preserve">8 (1a–1c)</t>
  </si>
  <si>
    <t xml:space="preserve">Phát hiện file suy biến</t>
  </si>
  <si>
    <t xml:space="preserve">Histogram max-cosine test→train + heatmap</t>
  </si>
  <si>
    <t xml:space="preserve">8 (2b)</t>
  </si>
  <si>
    <t xml:space="preserve">Phát hiện rò rỉ</t>
  </si>
  <si>
    <t xml:space="preserve">Histogram điểm theo lớp (log) + F1 theo ngưỡng</t>
  </si>
  <si>
    <t xml:space="preserve">8 (4a)</t>
  </si>
  <si>
    <t xml:space="preserve">Chẩn đoán dữ liệu quá dễ</t>
  </si>
  <si>
    <t xml:space="preserve">F1/AUC theo shift + histogram lag theo file</t>
  </si>
  <si>
    <t xml:space="preserve">8 (5e)</t>
  </si>
  <si>
    <t xml:space="preserve">Phát hiện lệch thời gian</t>
  </si>
  <si>
    <t xml:space="preserve">Timeline score vs GT cho file tốt/tệ/bị gắn cờ</t>
  </si>
  <si>
    <t xml:space="preserve">8 (3b, 5e)</t>
  </si>
  <si>
    <t xml:space="preserve">Kiểm tra trực quan từng file</t>
  </si>
  <si>
    <t xml:space="preserve">Heatmap tổng quan file × bin</t>
  </si>
  <si>
    <t xml:space="preserve">Nhìn lướt lệch pha, ghép nhầm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</si>
</sst>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General"/>
    <numFmt numFmtId="167" formatCode="0.0%"/>
    <numFmt numFmtId="168" formatCode="\+0.0%;\-0.0%;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7" t="s">
        <v>6</v>
      </c>
    </row>
    <row r="7" customFormat="false" ht="15" hidden="false" customHeight="false" outlineLevel="0" collapsed="false">
      <c r="A7" s="5" t="s">
        <v>7</v>
      </c>
      <c r="B7" s="8" t="s">
        <v>8</v>
      </c>
    </row>
    <row r="8" customFormat="false" ht="15" hidden="false" customHeight="false" outlineLevel="0" collapsed="false">
      <c r="A8" s="3" t="s">
        <v>9</v>
      </c>
      <c r="B8" s="4"/>
    </row>
    <row r="9" customFormat="false" ht="15" hidden="false" customHeight="false" outlineLevel="0" collapsed="false">
      <c r="A9" s="5" t="s">
        <v>10</v>
      </c>
      <c r="B9" s="8" t="s">
        <v>11</v>
      </c>
    </row>
    <row r="10" customFormat="false" ht="15" hidden="false" customHeight="false" outlineLevel="0" collapsed="false">
      <c r="A10" s="5" t="s">
        <v>12</v>
      </c>
      <c r="B10" s="8" t="s">
        <v>13</v>
      </c>
    </row>
    <row r="11" customFormat="false" ht="15" hidden="false" customHeight="false" outlineLevel="0" collapsed="false">
      <c r="A11" s="5" t="s">
        <v>14</v>
      </c>
      <c r="B11" s="8" t="s">
        <v>15</v>
      </c>
    </row>
    <row r="12" customFormat="false" ht="15" hidden="false" customHeight="false" outlineLevel="0" collapsed="false">
      <c r="A12" s="5" t="s">
        <v>16</v>
      </c>
      <c r="B12" s="8" t="s">
        <v>17</v>
      </c>
    </row>
    <row r="13" customFormat="false" ht="15" hidden="false" customHeight="false" outlineLevel="0" collapsed="false">
      <c r="A13" s="5" t="s">
        <v>18</v>
      </c>
      <c r="B13" s="8" t="s">
        <v>19</v>
      </c>
    </row>
    <row r="14" customFormat="false" ht="15" hidden="false" customHeight="false" outlineLevel="0" collapsed="false">
      <c r="A14" s="5" t="s">
        <v>20</v>
      </c>
      <c r="B14" s="8" t="s">
        <v>21</v>
      </c>
    </row>
    <row r="15" customFormat="false" ht="15" hidden="false" customHeight="false" outlineLevel="0" collapsed="false">
      <c r="A15" s="3" t="s">
        <v>22</v>
      </c>
      <c r="B15" s="4"/>
    </row>
    <row r="16" customFormat="false" ht="15" hidden="false" customHeight="false" outlineLevel="0" collapsed="false">
      <c r="A16" s="5" t="s">
        <v>23</v>
      </c>
      <c r="B16" s="9" t="n">
        <f aca="false">'Quy trinh 8 buoc'!B14</f>
        <v>0</v>
      </c>
    </row>
    <row r="17" customFormat="false" ht="15" hidden="false" customHeight="false" outlineLevel="0" collapsed="false">
      <c r="A17" s="5" t="s">
        <v>24</v>
      </c>
      <c r="B17" s="9" t="n">
        <f aca="false">'Kiem tra du lieu'!C30</f>
        <v>0</v>
      </c>
    </row>
    <row r="18" customFormat="false" ht="15" hidden="false" customHeight="false" outlineLevel="0" collapsed="false">
      <c r="A18" s="5" t="s">
        <v>25</v>
      </c>
      <c r="B18" s="10" t="n">
        <f aca="false">'Kiem tra du lieu'!C26</f>
        <v>0</v>
      </c>
    </row>
    <row r="19" customFormat="false" ht="15" hidden="false" customHeight="false" outlineLevel="0" collapsed="false">
      <c r="A19" s="3" t="s">
        <v>26</v>
      </c>
      <c r="B19" s="4"/>
    </row>
    <row r="20" customFormat="false" ht="26.85" hidden="false" customHeight="false" outlineLevel="0" collapsed="false">
      <c r="A20" s="5" t="s">
        <v>27</v>
      </c>
      <c r="B20" s="8" t="s">
        <v>28</v>
      </c>
    </row>
    <row r="21" customFormat="false" ht="15" hidden="false" customHeight="false" outlineLevel="0" collapsed="false">
      <c r="A21" s="5" t="s">
        <v>29</v>
      </c>
      <c r="B21" s="8" t="s">
        <v>30</v>
      </c>
    </row>
    <row r="22" customFormat="false" ht="15" hidden="false" customHeight="false" outlineLevel="0" collapsed="false">
      <c r="A22" s="5" t="s">
        <v>31</v>
      </c>
      <c r="B22" s="8" t="s">
        <v>32</v>
      </c>
    </row>
    <row r="23" customFormat="false" ht="26.85" hidden="false" customHeight="false" outlineLevel="0" collapsed="false">
      <c r="A23" s="5" t="s">
        <v>33</v>
      </c>
      <c r="B23" s="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55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11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11" t="s">
        <v>43</v>
      </c>
      <c r="H4" s="11" t="s">
        <v>44</v>
      </c>
    </row>
    <row r="5" customFormat="false" ht="35.05" hidden="false" customHeight="false" outlineLevel="0" collapsed="false">
      <c r="A5" s="12" t="n">
        <v>1</v>
      </c>
      <c r="B5" s="13" t="s">
        <v>45</v>
      </c>
      <c r="C5" s="13" t="s">
        <v>46</v>
      </c>
      <c r="D5" s="13" t="s">
        <v>47</v>
      </c>
      <c r="E5" s="13" t="s">
        <v>48</v>
      </c>
      <c r="F5" s="13" t="s">
        <v>49</v>
      </c>
      <c r="G5" s="14" t="s">
        <v>50</v>
      </c>
      <c r="H5" s="15"/>
    </row>
    <row r="6" customFormat="false" ht="35.05" hidden="false" customHeight="false" outlineLevel="0" collapsed="false">
      <c r="A6" s="12" t="n">
        <v>2</v>
      </c>
      <c r="B6" s="13" t="s">
        <v>51</v>
      </c>
      <c r="C6" s="13" t="s">
        <v>52</v>
      </c>
      <c r="D6" s="13" t="s">
        <v>53</v>
      </c>
      <c r="E6" s="13" t="s">
        <v>54</v>
      </c>
      <c r="F6" s="13" t="s">
        <v>55</v>
      </c>
      <c r="G6" s="14" t="s">
        <v>50</v>
      </c>
      <c r="H6" s="15"/>
    </row>
    <row r="7" customFormat="false" ht="23.85" hidden="false" customHeight="false" outlineLevel="0" collapsed="false">
      <c r="A7" s="12" t="n">
        <v>3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4" t="s">
        <v>50</v>
      </c>
      <c r="H7" s="15"/>
    </row>
    <row r="8" customFormat="false" ht="35.05" hidden="false" customHeight="false" outlineLevel="0" collapsed="false">
      <c r="A8" s="12" t="n">
        <v>4</v>
      </c>
      <c r="B8" s="13" t="s">
        <v>61</v>
      </c>
      <c r="C8" s="13" t="s">
        <v>62</v>
      </c>
      <c r="D8" s="13" t="s">
        <v>63</v>
      </c>
      <c r="E8" s="13" t="s">
        <v>64</v>
      </c>
      <c r="F8" s="13" t="s">
        <v>65</v>
      </c>
      <c r="G8" s="14" t="s">
        <v>50</v>
      </c>
      <c r="H8" s="15"/>
    </row>
    <row r="9" customFormat="false" ht="35.05" hidden="false" customHeight="false" outlineLevel="0" collapsed="false">
      <c r="A9" s="12" t="n">
        <v>5</v>
      </c>
      <c r="B9" s="13" t="s">
        <v>66</v>
      </c>
      <c r="C9" s="13" t="s">
        <v>67</v>
      </c>
      <c r="D9" s="13" t="s">
        <v>68</v>
      </c>
      <c r="E9" s="13" t="s">
        <v>69</v>
      </c>
      <c r="F9" s="13" t="s">
        <v>70</v>
      </c>
      <c r="G9" s="14" t="s">
        <v>50</v>
      </c>
      <c r="H9" s="15"/>
    </row>
    <row r="10" customFormat="false" ht="35.05" hidden="false" customHeight="false" outlineLevel="0" collapsed="false">
      <c r="A10" s="12" t="n">
        <v>6</v>
      </c>
      <c r="B10" s="13" t="s">
        <v>71</v>
      </c>
      <c r="C10" s="13" t="s">
        <v>72</v>
      </c>
      <c r="D10" s="13" t="s">
        <v>73</v>
      </c>
      <c r="E10" s="13" t="s">
        <v>74</v>
      </c>
      <c r="F10" s="13" t="s">
        <v>75</v>
      </c>
      <c r="G10" s="14" t="s">
        <v>50</v>
      </c>
      <c r="H10" s="15"/>
    </row>
    <row r="11" customFormat="false" ht="23.85" hidden="false" customHeight="false" outlineLevel="0" collapsed="false">
      <c r="A11" s="12" t="n">
        <v>7</v>
      </c>
      <c r="B11" s="13" t="s">
        <v>76</v>
      </c>
      <c r="C11" s="13" t="s">
        <v>77</v>
      </c>
      <c r="D11" s="13" t="s">
        <v>78</v>
      </c>
      <c r="E11" s="13" t="s">
        <v>79</v>
      </c>
      <c r="F11" s="13" t="s">
        <v>80</v>
      </c>
      <c r="G11" s="14" t="s">
        <v>50</v>
      </c>
      <c r="H11" s="15"/>
    </row>
    <row r="12" customFormat="false" ht="35.05" hidden="false" customHeight="false" outlineLevel="0" collapsed="false">
      <c r="A12" s="12" t="n">
        <v>8</v>
      </c>
      <c r="B12" s="13" t="s">
        <v>81</v>
      </c>
      <c r="C12" s="13" t="s">
        <v>82</v>
      </c>
      <c r="D12" s="13" t="s">
        <v>83</v>
      </c>
      <c r="E12" s="13" t="s">
        <v>84</v>
      </c>
      <c r="F12" s="13" t="s">
        <v>85</v>
      </c>
      <c r="G12" s="14" t="s">
        <v>50</v>
      </c>
      <c r="H12" s="15"/>
    </row>
    <row r="14" customFormat="false" ht="15" hidden="false" customHeight="false" outlineLevel="0" collapsed="false">
      <c r="A14" s="5" t="s">
        <v>22</v>
      </c>
      <c r="B14" s="16" t="n">
        <f aca="false">COUNTIF(G5:G12,"Đạt")/(COUNTA(G5:G12)-COUNTIF(G5:G12,"Không áp dụng"))</f>
        <v>0</v>
      </c>
      <c r="C14" s="17" t="s">
        <v>86</v>
      </c>
    </row>
  </sheetData>
  <conditionalFormatting sqref="G5:G12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  <cfRule type="cellIs" priority="4" operator="equal" aboveAverage="0" equalAverage="0" bottom="0" percent="0" rank="0" text="" dxfId="2">
      <formula>"Đang làm"</formula>
    </cfRule>
  </conditionalFormatting>
  <dataValidations count="1">
    <dataValidation allowBlank="true" errorStyle="stop" operator="between" showDropDown="false" showErrorMessage="false" showInputMessage="false" sqref="G5:G12" type="list">
      <formula1>"Chưa làm,Đang làm,Đạt,Không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6" min="5" style="0" width="30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11" t="s">
        <v>89</v>
      </c>
      <c r="B4" s="11" t="s">
        <v>90</v>
      </c>
      <c r="C4" s="11" t="s">
        <v>91</v>
      </c>
      <c r="D4" s="11" t="s">
        <v>92</v>
      </c>
      <c r="E4" s="11" t="s">
        <v>42</v>
      </c>
      <c r="F4" s="11" t="s">
        <v>93</v>
      </c>
    </row>
    <row r="5" customFormat="false" ht="23.85" hidden="false" customHeight="false" outlineLevel="0" collapsed="false">
      <c r="A5" s="12" t="s">
        <v>94</v>
      </c>
      <c r="B5" s="13" t="s">
        <v>95</v>
      </c>
      <c r="C5" s="13" t="s">
        <v>96</v>
      </c>
      <c r="D5" s="13" t="s">
        <v>97</v>
      </c>
      <c r="E5" s="13" t="s">
        <v>98</v>
      </c>
      <c r="F5" s="13" t="s">
        <v>99</v>
      </c>
    </row>
    <row r="6" customFormat="false" ht="15" hidden="false" customHeight="false" outlineLevel="0" collapsed="false">
      <c r="A6" s="12" t="s">
        <v>94</v>
      </c>
      <c r="B6" s="13" t="s">
        <v>100</v>
      </c>
      <c r="C6" s="13" t="s">
        <v>101</v>
      </c>
      <c r="D6" s="13" t="s">
        <v>102</v>
      </c>
      <c r="E6" s="13" t="s">
        <v>103</v>
      </c>
      <c r="F6" s="13" t="s">
        <v>104</v>
      </c>
    </row>
    <row r="7" customFormat="false" ht="15" hidden="false" customHeight="false" outlineLevel="0" collapsed="false">
      <c r="A7" s="12" t="s">
        <v>94</v>
      </c>
      <c r="B7" s="13" t="s">
        <v>105</v>
      </c>
      <c r="C7" s="13" t="s">
        <v>106</v>
      </c>
      <c r="D7" s="13" t="s">
        <v>107</v>
      </c>
      <c r="E7" s="13" t="s">
        <v>108</v>
      </c>
      <c r="F7" s="13" t="s">
        <v>109</v>
      </c>
    </row>
    <row r="8" customFormat="false" ht="15" hidden="false" customHeight="false" outlineLevel="0" collapsed="false">
      <c r="A8" s="12" t="s">
        <v>94</v>
      </c>
      <c r="B8" s="13" t="s">
        <v>110</v>
      </c>
      <c r="C8" s="13" t="s">
        <v>111</v>
      </c>
      <c r="D8" s="13" t="s">
        <v>112</v>
      </c>
      <c r="E8" s="13" t="s">
        <v>113</v>
      </c>
      <c r="F8" s="13" t="s">
        <v>109</v>
      </c>
    </row>
    <row r="9" customFormat="false" ht="15" hidden="false" customHeight="false" outlineLevel="0" collapsed="false">
      <c r="A9" s="12" t="s">
        <v>94</v>
      </c>
      <c r="B9" s="13" t="s">
        <v>114</v>
      </c>
      <c r="C9" s="13" t="s">
        <v>115</v>
      </c>
      <c r="D9" s="13" t="s">
        <v>116</v>
      </c>
      <c r="E9" s="13" t="s">
        <v>117</v>
      </c>
      <c r="F9" s="13" t="s">
        <v>109</v>
      </c>
    </row>
    <row r="10" customFormat="false" ht="15" hidden="false" customHeight="false" outlineLevel="0" collapsed="false">
      <c r="A10" s="12" t="s">
        <v>118</v>
      </c>
      <c r="B10" s="13" t="s">
        <v>119</v>
      </c>
      <c r="C10" s="13" t="s">
        <v>120</v>
      </c>
      <c r="D10" s="13" t="s">
        <v>121</v>
      </c>
      <c r="E10" s="13" t="s">
        <v>122</v>
      </c>
      <c r="F10" s="13" t="s">
        <v>123</v>
      </c>
    </row>
    <row r="11" customFormat="false" ht="15" hidden="false" customHeight="false" outlineLevel="0" collapsed="false">
      <c r="A11" s="12" t="s">
        <v>118</v>
      </c>
      <c r="B11" s="13" t="s">
        <v>124</v>
      </c>
      <c r="C11" s="13" t="s">
        <v>125</v>
      </c>
      <c r="D11" s="13" t="s">
        <v>126</v>
      </c>
      <c r="E11" s="13" t="s">
        <v>122</v>
      </c>
      <c r="F11" s="13" t="s">
        <v>123</v>
      </c>
    </row>
    <row r="12" customFormat="false" ht="15" hidden="false" customHeight="false" outlineLevel="0" collapsed="false">
      <c r="A12" s="12" t="s">
        <v>118</v>
      </c>
      <c r="B12" s="13" t="s">
        <v>127</v>
      </c>
      <c r="C12" s="13" t="s">
        <v>128</v>
      </c>
      <c r="D12" s="13" t="s">
        <v>129</v>
      </c>
      <c r="E12" s="13" t="s">
        <v>130</v>
      </c>
      <c r="F12" s="13" t="s">
        <v>131</v>
      </c>
    </row>
    <row r="13" customFormat="false" ht="15" hidden="false" customHeight="false" outlineLevel="0" collapsed="false">
      <c r="A13" s="12" t="s">
        <v>118</v>
      </c>
      <c r="B13" s="13" t="s">
        <v>132</v>
      </c>
      <c r="C13" s="13" t="s">
        <v>133</v>
      </c>
      <c r="D13" s="13" t="s">
        <v>134</v>
      </c>
      <c r="E13" s="13" t="s">
        <v>130</v>
      </c>
      <c r="F13" s="13" t="s">
        <v>131</v>
      </c>
    </row>
    <row r="14" customFormat="false" ht="23.85" hidden="false" customHeight="false" outlineLevel="0" collapsed="false">
      <c r="A14" s="12" t="s">
        <v>118</v>
      </c>
      <c r="B14" s="13" t="s">
        <v>135</v>
      </c>
      <c r="C14" s="13" t="s">
        <v>136</v>
      </c>
      <c r="D14" s="13" t="s">
        <v>137</v>
      </c>
      <c r="E14" s="13" t="s">
        <v>138</v>
      </c>
      <c r="F14" s="13" t="s">
        <v>139</v>
      </c>
    </row>
    <row r="15" customFormat="false" ht="15" hidden="false" customHeight="false" outlineLevel="0" collapsed="false">
      <c r="A15" s="12" t="s">
        <v>118</v>
      </c>
      <c r="B15" s="13" t="s">
        <v>140</v>
      </c>
      <c r="C15" s="13" t="s">
        <v>141</v>
      </c>
      <c r="D15" s="13" t="s">
        <v>142</v>
      </c>
      <c r="E15" s="13" t="s">
        <v>143</v>
      </c>
      <c r="F15" s="13" t="s">
        <v>131</v>
      </c>
    </row>
    <row r="16" customFormat="false" ht="23.85" hidden="false" customHeight="false" outlineLevel="0" collapsed="false">
      <c r="A16" s="12" t="s">
        <v>118</v>
      </c>
      <c r="B16" s="13" t="s">
        <v>144</v>
      </c>
      <c r="C16" s="13" t="s">
        <v>145</v>
      </c>
      <c r="D16" s="13" t="s">
        <v>146</v>
      </c>
      <c r="E16" s="13" t="s">
        <v>147</v>
      </c>
      <c r="F16" s="13" t="s">
        <v>148</v>
      </c>
    </row>
    <row r="17" customFormat="false" ht="23.85" hidden="false" customHeight="false" outlineLevel="0" collapsed="false">
      <c r="A17" s="12" t="s">
        <v>118</v>
      </c>
      <c r="B17" s="13" t="s">
        <v>149</v>
      </c>
      <c r="C17" s="13" t="s">
        <v>150</v>
      </c>
      <c r="D17" s="13" t="s">
        <v>151</v>
      </c>
      <c r="E17" s="13" t="s">
        <v>152</v>
      </c>
      <c r="F17" s="13" t="s">
        <v>153</v>
      </c>
    </row>
    <row r="18" customFormat="false" ht="23.85" hidden="false" customHeight="false" outlineLevel="0" collapsed="false">
      <c r="A18" s="12" t="s">
        <v>118</v>
      </c>
      <c r="B18" s="13" t="s">
        <v>154</v>
      </c>
      <c r="C18" s="13" t="s">
        <v>155</v>
      </c>
      <c r="D18" s="13" t="s">
        <v>156</v>
      </c>
      <c r="E18" s="13" t="s">
        <v>157</v>
      </c>
      <c r="F18" s="13" t="s">
        <v>148</v>
      </c>
    </row>
    <row r="19" customFormat="false" ht="15" hidden="false" customHeight="false" outlineLevel="0" collapsed="false">
      <c r="A19" s="12" t="s">
        <v>118</v>
      </c>
      <c r="B19" s="13" t="s">
        <v>158</v>
      </c>
      <c r="C19" s="13" t="s">
        <v>159</v>
      </c>
      <c r="D19" s="13" t="s">
        <v>160</v>
      </c>
      <c r="E19" s="13" t="s">
        <v>147</v>
      </c>
      <c r="F19" s="13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2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11" t="s">
        <v>164</v>
      </c>
      <c r="B4" s="11" t="s">
        <v>165</v>
      </c>
      <c r="C4" s="11" t="s">
        <v>166</v>
      </c>
      <c r="D4" s="11" t="s">
        <v>167</v>
      </c>
      <c r="E4" s="11" t="s">
        <v>168</v>
      </c>
      <c r="F4" s="11" t="s">
        <v>169</v>
      </c>
      <c r="G4" s="11" t="s">
        <v>170</v>
      </c>
      <c r="H4" s="11" t="s">
        <v>43</v>
      </c>
      <c r="I4" s="11" t="s">
        <v>44</v>
      </c>
    </row>
    <row r="5" customFormat="false" ht="15" hidden="false" customHeight="false" outlineLevel="0" collapsed="false">
      <c r="A5" s="12" t="s">
        <v>171</v>
      </c>
      <c r="B5" s="13" t="s">
        <v>172</v>
      </c>
      <c r="C5" s="13" t="s">
        <v>173</v>
      </c>
      <c r="D5" s="13" t="s">
        <v>174</v>
      </c>
      <c r="E5" s="13" t="s">
        <v>175</v>
      </c>
      <c r="F5" s="13" t="s">
        <v>176</v>
      </c>
      <c r="G5" s="15"/>
      <c r="H5" s="14" t="s">
        <v>50</v>
      </c>
      <c r="I5" s="15"/>
    </row>
    <row r="6" customFormat="false" ht="15" hidden="false" customHeight="false" outlineLevel="0" collapsed="false">
      <c r="A6" s="12" t="s">
        <v>177</v>
      </c>
      <c r="B6" s="13" t="s">
        <v>172</v>
      </c>
      <c r="C6" s="13" t="s">
        <v>178</v>
      </c>
      <c r="D6" s="13" t="s">
        <v>179</v>
      </c>
      <c r="E6" s="13" t="s">
        <v>180</v>
      </c>
      <c r="F6" s="13" t="s">
        <v>181</v>
      </c>
      <c r="G6" s="15"/>
      <c r="H6" s="14" t="s">
        <v>50</v>
      </c>
      <c r="I6" s="15"/>
    </row>
    <row r="7" customFormat="false" ht="15" hidden="false" customHeight="false" outlineLevel="0" collapsed="false">
      <c r="A7" s="12" t="s">
        <v>182</v>
      </c>
      <c r="B7" s="13" t="s">
        <v>172</v>
      </c>
      <c r="C7" s="13" t="s">
        <v>183</v>
      </c>
      <c r="D7" s="13" t="s">
        <v>184</v>
      </c>
      <c r="E7" s="13" t="s">
        <v>185</v>
      </c>
      <c r="F7" s="13" t="s">
        <v>186</v>
      </c>
      <c r="G7" s="15"/>
      <c r="H7" s="14" t="s">
        <v>50</v>
      </c>
      <c r="I7" s="15"/>
    </row>
    <row r="8" customFormat="false" ht="15" hidden="false" customHeight="false" outlineLevel="0" collapsed="false">
      <c r="A8" s="12" t="s">
        <v>187</v>
      </c>
      <c r="B8" s="13" t="s">
        <v>172</v>
      </c>
      <c r="C8" s="13" t="s">
        <v>188</v>
      </c>
      <c r="D8" s="13" t="s">
        <v>189</v>
      </c>
      <c r="E8" s="13" t="s">
        <v>190</v>
      </c>
      <c r="F8" s="13" t="s">
        <v>191</v>
      </c>
      <c r="G8" s="15"/>
      <c r="H8" s="14" t="s">
        <v>50</v>
      </c>
      <c r="I8" s="15"/>
    </row>
    <row r="9" customFormat="false" ht="23.85" hidden="false" customHeight="false" outlineLevel="0" collapsed="false">
      <c r="A9" s="12" t="s">
        <v>192</v>
      </c>
      <c r="B9" s="13" t="s">
        <v>172</v>
      </c>
      <c r="C9" s="13" t="s">
        <v>193</v>
      </c>
      <c r="D9" s="13" t="s">
        <v>194</v>
      </c>
      <c r="E9" s="13" t="s">
        <v>195</v>
      </c>
      <c r="F9" s="13" t="s">
        <v>196</v>
      </c>
      <c r="G9" s="15"/>
      <c r="H9" s="14" t="s">
        <v>50</v>
      </c>
      <c r="I9" s="15"/>
    </row>
    <row r="10" customFormat="false" ht="15" hidden="false" customHeight="false" outlineLevel="0" collapsed="false">
      <c r="A10" s="12" t="s">
        <v>197</v>
      </c>
      <c r="B10" s="13" t="s">
        <v>198</v>
      </c>
      <c r="C10" s="13" t="s">
        <v>199</v>
      </c>
      <c r="D10" s="13" t="s">
        <v>200</v>
      </c>
      <c r="E10" s="13" t="s">
        <v>201</v>
      </c>
      <c r="F10" s="13" t="s">
        <v>202</v>
      </c>
      <c r="G10" s="15"/>
      <c r="H10" s="14" t="s">
        <v>50</v>
      </c>
      <c r="I10" s="15"/>
    </row>
    <row r="11" customFormat="false" ht="15" hidden="false" customHeight="false" outlineLevel="0" collapsed="false">
      <c r="A11" s="12" t="s">
        <v>203</v>
      </c>
      <c r="B11" s="13" t="s">
        <v>198</v>
      </c>
      <c r="C11" s="13" t="s">
        <v>204</v>
      </c>
      <c r="D11" s="13" t="s">
        <v>205</v>
      </c>
      <c r="E11" s="13" t="s">
        <v>206</v>
      </c>
      <c r="F11" s="13" t="s">
        <v>207</v>
      </c>
      <c r="G11" s="15"/>
      <c r="H11" s="14" t="s">
        <v>50</v>
      </c>
      <c r="I11" s="15"/>
    </row>
    <row r="12" customFormat="false" ht="15" hidden="false" customHeight="false" outlineLevel="0" collapsed="false">
      <c r="A12" s="12" t="s">
        <v>208</v>
      </c>
      <c r="B12" s="13" t="s">
        <v>198</v>
      </c>
      <c r="C12" s="13" t="s">
        <v>209</v>
      </c>
      <c r="D12" s="13" t="s">
        <v>210</v>
      </c>
      <c r="E12" s="13" t="s">
        <v>211</v>
      </c>
      <c r="F12" s="13" t="s">
        <v>212</v>
      </c>
      <c r="G12" s="15"/>
      <c r="H12" s="14" t="s">
        <v>50</v>
      </c>
      <c r="I12" s="15"/>
    </row>
    <row r="13" customFormat="false" ht="15" hidden="false" customHeight="false" outlineLevel="0" collapsed="false">
      <c r="A13" s="12" t="s">
        <v>213</v>
      </c>
      <c r="B13" s="13" t="s">
        <v>198</v>
      </c>
      <c r="C13" s="13" t="s">
        <v>214</v>
      </c>
      <c r="D13" s="13" t="s">
        <v>215</v>
      </c>
      <c r="E13" s="13" t="s">
        <v>216</v>
      </c>
      <c r="F13" s="13" t="s">
        <v>217</v>
      </c>
      <c r="G13" s="15"/>
      <c r="H13" s="14" t="s">
        <v>50</v>
      </c>
      <c r="I13" s="15"/>
    </row>
    <row r="14" customFormat="false" ht="23.85" hidden="false" customHeight="false" outlineLevel="0" collapsed="false">
      <c r="A14" s="12" t="s">
        <v>218</v>
      </c>
      <c r="B14" s="13" t="s">
        <v>219</v>
      </c>
      <c r="C14" s="13" t="s">
        <v>220</v>
      </c>
      <c r="D14" s="13" t="s">
        <v>221</v>
      </c>
      <c r="E14" s="13" t="s">
        <v>222</v>
      </c>
      <c r="F14" s="13" t="s">
        <v>223</v>
      </c>
      <c r="G14" s="15"/>
      <c r="H14" s="14" t="s">
        <v>50</v>
      </c>
      <c r="I14" s="15"/>
    </row>
    <row r="15" customFormat="false" ht="23.85" hidden="false" customHeight="false" outlineLevel="0" collapsed="false">
      <c r="A15" s="12" t="s">
        <v>224</v>
      </c>
      <c r="B15" s="13" t="s">
        <v>219</v>
      </c>
      <c r="C15" s="13" t="s">
        <v>225</v>
      </c>
      <c r="D15" s="13" t="s">
        <v>226</v>
      </c>
      <c r="E15" s="13" t="s">
        <v>227</v>
      </c>
      <c r="F15" s="13" t="s">
        <v>228</v>
      </c>
      <c r="G15" s="15"/>
      <c r="H15" s="14" t="s">
        <v>50</v>
      </c>
      <c r="I15" s="15"/>
    </row>
    <row r="16" customFormat="false" ht="23.85" hidden="false" customHeight="false" outlineLevel="0" collapsed="false">
      <c r="A16" s="12" t="s">
        <v>229</v>
      </c>
      <c r="B16" s="13" t="s">
        <v>219</v>
      </c>
      <c r="C16" s="13" t="s">
        <v>230</v>
      </c>
      <c r="D16" s="13" t="s">
        <v>231</v>
      </c>
      <c r="E16" s="13" t="s">
        <v>232</v>
      </c>
      <c r="F16" s="13" t="s">
        <v>233</v>
      </c>
      <c r="G16" s="15"/>
      <c r="H16" s="14" t="s">
        <v>50</v>
      </c>
      <c r="I16" s="15"/>
    </row>
    <row r="17" customFormat="false" ht="23.85" hidden="false" customHeight="false" outlineLevel="0" collapsed="false">
      <c r="A17" s="12" t="s">
        <v>234</v>
      </c>
      <c r="B17" s="13" t="s">
        <v>235</v>
      </c>
      <c r="C17" s="13" t="s">
        <v>236</v>
      </c>
      <c r="D17" s="13" t="s">
        <v>237</v>
      </c>
      <c r="E17" s="13" t="s">
        <v>238</v>
      </c>
      <c r="F17" s="13" t="s">
        <v>239</v>
      </c>
      <c r="G17" s="15"/>
      <c r="H17" s="14" t="s">
        <v>50</v>
      </c>
      <c r="I17" s="15"/>
    </row>
    <row r="18" customFormat="false" ht="15" hidden="false" customHeight="false" outlineLevel="0" collapsed="false">
      <c r="A18" s="12" t="s">
        <v>240</v>
      </c>
      <c r="B18" s="13" t="s">
        <v>235</v>
      </c>
      <c r="C18" s="13" t="s">
        <v>241</v>
      </c>
      <c r="D18" s="13" t="s">
        <v>242</v>
      </c>
      <c r="E18" s="13" t="s">
        <v>243</v>
      </c>
      <c r="F18" s="13" t="s">
        <v>244</v>
      </c>
      <c r="G18" s="15"/>
      <c r="H18" s="14" t="s">
        <v>50</v>
      </c>
      <c r="I18" s="15"/>
    </row>
    <row r="19" customFormat="false" ht="15" hidden="false" customHeight="false" outlineLevel="0" collapsed="false">
      <c r="A19" s="12" t="s">
        <v>245</v>
      </c>
      <c r="B19" s="13" t="s">
        <v>246</v>
      </c>
      <c r="C19" s="13" t="s">
        <v>247</v>
      </c>
      <c r="D19" s="13" t="s">
        <v>248</v>
      </c>
      <c r="E19" s="13" t="s">
        <v>249</v>
      </c>
      <c r="F19" s="13" t="s">
        <v>250</v>
      </c>
      <c r="G19" s="15"/>
      <c r="H19" s="14" t="s">
        <v>50</v>
      </c>
      <c r="I19" s="15"/>
    </row>
    <row r="20" customFormat="false" ht="15" hidden="false" customHeight="false" outlineLevel="0" collapsed="false">
      <c r="A20" s="12" t="s">
        <v>251</v>
      </c>
      <c r="B20" s="13" t="s">
        <v>246</v>
      </c>
      <c r="C20" s="13" t="s">
        <v>252</v>
      </c>
      <c r="D20" s="13" t="s">
        <v>253</v>
      </c>
      <c r="E20" s="13" t="s">
        <v>254</v>
      </c>
      <c r="F20" s="13" t="s">
        <v>255</v>
      </c>
      <c r="G20" s="15"/>
      <c r="H20" s="14" t="s">
        <v>50</v>
      </c>
      <c r="I20" s="15"/>
    </row>
    <row r="21" customFormat="false" ht="15" hidden="false" customHeight="false" outlineLevel="0" collapsed="false">
      <c r="A21" s="12" t="s">
        <v>256</v>
      </c>
      <c r="B21" s="13" t="s">
        <v>246</v>
      </c>
      <c r="C21" s="13" t="s">
        <v>257</v>
      </c>
      <c r="D21" s="13" t="s">
        <v>258</v>
      </c>
      <c r="E21" s="13" t="s">
        <v>259</v>
      </c>
      <c r="F21" s="13" t="s">
        <v>260</v>
      </c>
      <c r="G21" s="15"/>
      <c r="H21" s="14" t="s">
        <v>50</v>
      </c>
      <c r="I21" s="15"/>
    </row>
    <row r="22" customFormat="false" ht="23.85" hidden="false" customHeight="false" outlineLevel="0" collapsed="false">
      <c r="A22" s="12" t="s">
        <v>261</v>
      </c>
      <c r="B22" s="13" t="s">
        <v>246</v>
      </c>
      <c r="C22" s="13" t="s">
        <v>262</v>
      </c>
      <c r="D22" s="13" t="s">
        <v>263</v>
      </c>
      <c r="E22" s="13" t="s">
        <v>264</v>
      </c>
      <c r="F22" s="13" t="s">
        <v>265</v>
      </c>
      <c r="G22" s="15"/>
      <c r="H22" s="14" t="s">
        <v>50</v>
      </c>
      <c r="I22" s="15"/>
    </row>
    <row r="24" customFormat="false" ht="15" hidden="false" customHeight="false" outlineLevel="0" collapsed="false">
      <c r="B24" s="5" t="s">
        <v>266</v>
      </c>
    </row>
    <row r="25" customFormat="false" ht="15" hidden="false" customHeight="false" outlineLevel="0" collapsed="false">
      <c r="B25" s="18" t="s">
        <v>267</v>
      </c>
      <c r="C25" s="18" t="n">
        <f aca="false">COUNTIF($H$5:$H$22,B25)</f>
        <v>0</v>
      </c>
    </row>
    <row r="26" customFormat="false" ht="15" hidden="false" customHeight="false" outlineLevel="0" collapsed="false">
      <c r="B26" s="18" t="s">
        <v>268</v>
      </c>
      <c r="C26" s="18" t="n">
        <f aca="false">COUNTIF($H$5:$H$22,B26)</f>
        <v>0</v>
      </c>
    </row>
    <row r="27" customFormat="false" ht="15" hidden="false" customHeight="false" outlineLevel="0" collapsed="false">
      <c r="B27" s="18" t="s">
        <v>269</v>
      </c>
      <c r="C27" s="18" t="n">
        <f aca="false">COUNTIF($H$5:$H$22,B27)</f>
        <v>0</v>
      </c>
    </row>
    <row r="28" customFormat="false" ht="15" hidden="false" customHeight="false" outlineLevel="0" collapsed="false">
      <c r="B28" s="18" t="s">
        <v>50</v>
      </c>
      <c r="C28" s="18" t="n">
        <f aca="false">COUNTIF($H$5:$H$22,B28)</f>
        <v>18</v>
      </c>
    </row>
    <row r="29" customFormat="false" ht="15" hidden="false" customHeight="false" outlineLevel="0" collapsed="false">
      <c r="B29" s="18" t="s">
        <v>270</v>
      </c>
      <c r="C29" s="18" t="n">
        <f aca="false">COUNTIF($H$5:$H$22,B29)</f>
        <v>0</v>
      </c>
    </row>
    <row r="30" customFormat="false" ht="15" hidden="false" customHeight="false" outlineLevel="0" collapsed="false">
      <c r="B30" s="5" t="s">
        <v>271</v>
      </c>
      <c r="C30" s="16" t="n">
        <f aca="false">IFERROR((C25+C26)/(COUNTA(H5:H22)-C29),0)</f>
        <v>0</v>
      </c>
    </row>
  </sheetData>
  <conditionalFormatting sqref="H5:H22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  <cfRule type="cellIs" priority="4" operator="equal" aboveAverage="0" equalAverage="0" bottom="0" percent="0" rank="0" text="" dxfId="2">
      <formula>"Đang làm"</formula>
    </cfRule>
  </conditionalFormatting>
  <dataValidations count="1">
    <dataValidation allowBlank="true" errorStyle="stop" operator="between" showDropDown="false" showErrorMessage="false" showInputMessage="false" sqref="H5:H22" type="list">
      <formula1>"Chưa làm,Đang làm,Đạt,Không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5" min="3" style="0" width="11"/>
    <col collapsed="false" customWidth="true" hidden="false" outlineLevel="0" max="6" min="6" style="0" width="16"/>
    <col collapsed="false" customWidth="true" hidden="false" outlineLevel="0" max="8" min="7" style="0" width="9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272</v>
      </c>
    </row>
    <row r="4" customFormat="false" ht="26.85" hidden="false" customHeight="false" outlineLevel="0" collapsed="false">
      <c r="A4" s="11" t="s">
        <v>273</v>
      </c>
      <c r="B4" s="11" t="s">
        <v>274</v>
      </c>
      <c r="C4" s="11" t="s">
        <v>275</v>
      </c>
      <c r="D4" s="11" t="s">
        <v>276</v>
      </c>
      <c r="E4" s="11" t="s">
        <v>277</v>
      </c>
      <c r="F4" s="11" t="s">
        <v>278</v>
      </c>
      <c r="G4" s="11" t="s">
        <v>279</v>
      </c>
      <c r="H4" s="11" t="s">
        <v>280</v>
      </c>
      <c r="I4" s="11" t="s">
        <v>281</v>
      </c>
      <c r="J4" s="11" t="s">
        <v>282</v>
      </c>
      <c r="K4" s="11" t="s">
        <v>140</v>
      </c>
      <c r="L4" s="11" t="s">
        <v>283</v>
      </c>
      <c r="M4" s="11" t="s">
        <v>44</v>
      </c>
    </row>
    <row r="5" customFormat="false" ht="15" hidden="false" customHeight="false" outlineLevel="0" collapsed="false">
      <c r="A5" s="13" t="s">
        <v>284</v>
      </c>
      <c r="B5" s="12" t="s">
        <v>285</v>
      </c>
      <c r="C5" s="14" t="n">
        <v>0</v>
      </c>
      <c r="D5" s="14" t="n">
        <v>0</v>
      </c>
      <c r="E5" s="14" t="n">
        <v>0</v>
      </c>
      <c r="F5" s="12" t="s">
        <v>286</v>
      </c>
      <c r="G5" s="19" t="n">
        <v>0.06</v>
      </c>
      <c r="H5" s="19" t="n">
        <v>0.03</v>
      </c>
      <c r="I5" s="19" t="n">
        <v>0.94</v>
      </c>
      <c r="J5" s="19" t="n">
        <v>0.965</v>
      </c>
      <c r="K5" s="20" t="n">
        <f aca="false">0.75*G5+0.25*H5</f>
        <v>0.0525</v>
      </c>
      <c r="L5" s="21" t="n">
        <f aca="false">K5-$K$5</f>
        <v>0</v>
      </c>
      <c r="M5" s="15"/>
    </row>
    <row r="6" customFormat="false" ht="15" hidden="false" customHeight="false" outlineLevel="0" collapsed="false">
      <c r="A6" s="13" t="s">
        <v>287</v>
      </c>
      <c r="B6" s="12" t="s">
        <v>288</v>
      </c>
      <c r="C6" s="14" t="n">
        <v>0</v>
      </c>
      <c r="D6" s="14" t="n">
        <v>0</v>
      </c>
      <c r="E6" s="14" t="n">
        <v>0</v>
      </c>
      <c r="F6" s="12" t="s">
        <v>288</v>
      </c>
      <c r="G6" s="19" t="n">
        <v>0.055</v>
      </c>
      <c r="H6" s="19" t="n">
        <v>0.03</v>
      </c>
      <c r="I6" s="19" t="n">
        <v>0.945</v>
      </c>
      <c r="J6" s="19" t="n">
        <v>0.968</v>
      </c>
      <c r="K6" s="20" t="n">
        <f aca="false">0.75*G6+0.25*H6</f>
        <v>0.04875</v>
      </c>
      <c r="L6" s="21" t="n">
        <f aca="false">K6-$K$5</f>
        <v>-0.00375</v>
      </c>
      <c r="M6" s="15"/>
    </row>
    <row r="7" customFormat="false" ht="15" hidden="false" customHeight="false" outlineLevel="0" collapsed="false">
      <c r="A7" s="13" t="s">
        <v>289</v>
      </c>
      <c r="B7" s="12" t="s">
        <v>288</v>
      </c>
      <c r="C7" s="14" t="n">
        <v>100</v>
      </c>
      <c r="D7" s="14" t="n">
        <v>120</v>
      </c>
      <c r="E7" s="14" t="n">
        <v>0</v>
      </c>
      <c r="F7" s="12" t="s">
        <v>288</v>
      </c>
      <c r="G7" s="19" t="n">
        <v>0.045</v>
      </c>
      <c r="H7" s="19" t="n">
        <v>0.045</v>
      </c>
      <c r="I7" s="19" t="n">
        <v>0.944</v>
      </c>
      <c r="J7" s="19" t="n">
        <v>0.97</v>
      </c>
      <c r="K7" s="20" t="n">
        <f aca="false">0.75*G7+0.25*H7</f>
        <v>0.045</v>
      </c>
      <c r="L7" s="21" t="n">
        <f aca="false">K7-$K$5</f>
        <v>-0.0075</v>
      </c>
      <c r="M7" s="15"/>
    </row>
    <row r="8" customFormat="false" ht="15" hidden="false" customHeight="false" outlineLevel="0" collapsed="false">
      <c r="A8" s="13" t="s">
        <v>290</v>
      </c>
      <c r="B8" s="12" t="s">
        <v>288</v>
      </c>
      <c r="C8" s="14" t="n">
        <v>0</v>
      </c>
      <c r="D8" s="14" t="n">
        <v>0</v>
      </c>
      <c r="E8" s="14" t="n">
        <v>500</v>
      </c>
      <c r="F8" s="12" t="s">
        <v>288</v>
      </c>
      <c r="G8" s="19" t="n">
        <v>0.04</v>
      </c>
      <c r="H8" s="19" t="n">
        <v>0.06</v>
      </c>
      <c r="I8" s="19" t="n">
        <v>0.939</v>
      </c>
      <c r="J8" s="19" t="n">
        <v>0.972</v>
      </c>
      <c r="K8" s="20" t="n">
        <f aca="false">0.75*G8+0.25*H8</f>
        <v>0.045</v>
      </c>
      <c r="L8" s="21" t="n">
        <f aca="false">K8-$K$5</f>
        <v>-0.0075</v>
      </c>
      <c r="M8" s="15"/>
    </row>
    <row r="9" customFormat="false" ht="15" hidden="false" customHeight="false" outlineLevel="0" collapsed="false">
      <c r="A9" s="13" t="s">
        <v>291</v>
      </c>
      <c r="B9" s="12" t="s">
        <v>288</v>
      </c>
      <c r="C9" s="14" t="n">
        <v>100</v>
      </c>
      <c r="D9" s="14" t="n">
        <v>120</v>
      </c>
      <c r="E9" s="14" t="n">
        <v>500</v>
      </c>
      <c r="F9" s="12" t="s">
        <v>288</v>
      </c>
      <c r="G9" s="19" t="n">
        <v>0.03</v>
      </c>
      <c r="H9" s="19" t="n">
        <v>0.075</v>
      </c>
      <c r="I9" s="19" t="n">
        <v>0.936</v>
      </c>
      <c r="J9" s="19" t="n">
        <v>0.973</v>
      </c>
      <c r="K9" s="20" t="n">
        <f aca="false">0.75*G9+0.25*H9</f>
        <v>0.04125</v>
      </c>
      <c r="L9" s="21" t="n">
        <f aca="false">K9-$K$5</f>
        <v>-0.01125</v>
      </c>
      <c r="M9" s="15"/>
    </row>
    <row r="11" customFormat="false" ht="15" hidden="false" customHeight="false" outlineLevel="0" collapsed="false">
      <c r="A11" s="17" t="s">
        <v>292</v>
      </c>
    </row>
    <row r="12" customFormat="false" ht="15" hidden="false" customHeight="false" outlineLevel="0" collapsed="false">
      <c r="A12" s="17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9" min="6" style="0" width="7"/>
    <col collapsed="false" customWidth="true" hidden="false" outlineLevel="0" max="13" min="10" style="0" width="9"/>
    <col collapsed="false" customWidth="true" hidden="false" outlineLevel="0" max="14" min="14" style="0" width="8"/>
    <col collapsed="false" customWidth="true" hidden="false" outlineLevel="0" max="15" min="15" style="0" width="12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1" t="s">
        <v>294</v>
      </c>
    </row>
    <row r="2" customFormat="false" ht="15" hidden="false" customHeight="false" outlineLevel="0" collapsed="false">
      <c r="A2" s="2" t="s">
        <v>295</v>
      </c>
    </row>
    <row r="4" customFormat="false" ht="39.55" hidden="false" customHeight="false" outlineLevel="0" collapsed="false">
      <c r="A4" s="11" t="s">
        <v>296</v>
      </c>
      <c r="B4" s="11" t="s">
        <v>297</v>
      </c>
      <c r="C4" s="11" t="s">
        <v>298</v>
      </c>
      <c r="D4" s="11" t="s">
        <v>279</v>
      </c>
      <c r="E4" s="11" t="s">
        <v>280</v>
      </c>
      <c r="F4" s="11" t="s">
        <v>299</v>
      </c>
      <c r="G4" s="11" t="s">
        <v>300</v>
      </c>
      <c r="H4" s="11" t="s">
        <v>301</v>
      </c>
      <c r="I4" s="11" t="s">
        <v>302</v>
      </c>
      <c r="J4" s="11" t="s">
        <v>281</v>
      </c>
      <c r="K4" s="11" t="s">
        <v>282</v>
      </c>
      <c r="L4" s="11" t="s">
        <v>303</v>
      </c>
      <c r="M4" s="11" t="s">
        <v>304</v>
      </c>
      <c r="N4" s="11" t="s">
        <v>140</v>
      </c>
      <c r="O4" s="11" t="s">
        <v>305</v>
      </c>
      <c r="P4" s="11" t="s">
        <v>306</v>
      </c>
    </row>
    <row r="5" customFormat="false" ht="15" hidden="false" customHeight="false" outlineLevel="0" collapsed="false">
      <c r="A5" s="22" t="s">
        <v>307</v>
      </c>
      <c r="B5" s="23" t="n">
        <v>40</v>
      </c>
      <c r="C5" s="19" t="n">
        <v>0.55</v>
      </c>
      <c r="D5" s="19" t="n">
        <v>0.04</v>
      </c>
      <c r="E5" s="19" t="n">
        <v>0.06</v>
      </c>
      <c r="F5" s="23" t="n">
        <v>12</v>
      </c>
      <c r="G5" s="23" t="n">
        <v>5</v>
      </c>
      <c r="H5" s="23" t="n">
        <v>18</v>
      </c>
      <c r="I5" s="23" t="n">
        <v>7</v>
      </c>
      <c r="J5" s="19" t="n">
        <v>0.935</v>
      </c>
      <c r="K5" s="19" t="n">
        <v>0.97</v>
      </c>
      <c r="L5" s="19" t="n">
        <v>0.918</v>
      </c>
      <c r="M5" s="19" t="n">
        <v>0.951</v>
      </c>
      <c r="N5" s="20" t="n">
        <f aca="false">IF(D5="","",0.75*D5+0.25*E5)</f>
        <v>0.045</v>
      </c>
      <c r="O5" s="20" t="n">
        <f aca="false">IF(J5="","",K5-J5)</f>
        <v>0.0349999999999999</v>
      </c>
      <c r="P5" s="24" t="n">
        <f aca="false">IF(SUM(F5:I5)=0,"",(G5+I5)/SUM(F5:I5))</f>
        <v>0.285714285714286</v>
      </c>
    </row>
    <row r="6" customFormat="false" ht="15" hidden="false" customHeight="false" outlineLevel="0" collapsed="false">
      <c r="A6" s="15"/>
      <c r="B6" s="14"/>
      <c r="C6" s="25"/>
      <c r="D6" s="25"/>
      <c r="E6" s="25"/>
      <c r="F6" s="14"/>
      <c r="G6" s="14"/>
      <c r="H6" s="14"/>
      <c r="I6" s="14"/>
      <c r="J6" s="25"/>
      <c r="K6" s="25"/>
      <c r="L6" s="25"/>
      <c r="M6" s="25"/>
      <c r="N6" s="20" t="str">
        <f aca="false">IF(D6="","",0.75*D6+0.25*E6)</f>
        <v/>
      </c>
      <c r="O6" s="20" t="str">
        <f aca="false">IF(J6="","",K6-J6)</f>
        <v/>
      </c>
      <c r="P6" s="24" t="str">
        <f aca="false">IF(SUM(F6:I6)=0,"",(G6+I6)/SUM(F6:I6))</f>
        <v/>
      </c>
    </row>
    <row r="7" customFormat="false" ht="15" hidden="false" customHeight="false" outlineLevel="0" collapsed="false">
      <c r="A7" s="15"/>
      <c r="B7" s="14"/>
      <c r="C7" s="25"/>
      <c r="D7" s="25"/>
      <c r="E7" s="25"/>
      <c r="F7" s="14"/>
      <c r="G7" s="14"/>
      <c r="H7" s="14"/>
      <c r="I7" s="14"/>
      <c r="J7" s="25"/>
      <c r="K7" s="25"/>
      <c r="L7" s="25"/>
      <c r="M7" s="25"/>
      <c r="N7" s="20" t="str">
        <f aca="false">IF(D7="","",0.75*D7+0.25*E7)</f>
        <v/>
      </c>
      <c r="O7" s="20" t="str">
        <f aca="false">IF(J7="","",K7-J7)</f>
        <v/>
      </c>
      <c r="P7" s="24" t="str">
        <f aca="false">IF(SUM(F7:I7)=0,"",(G7+I7)/SUM(F7:I7))</f>
        <v/>
      </c>
    </row>
    <row r="8" customFormat="false" ht="15" hidden="false" customHeight="false" outlineLevel="0" collapsed="false">
      <c r="A8" s="15"/>
      <c r="B8" s="14"/>
      <c r="C8" s="25"/>
      <c r="D8" s="25"/>
      <c r="E8" s="25"/>
      <c r="F8" s="14"/>
      <c r="G8" s="14"/>
      <c r="H8" s="14"/>
      <c r="I8" s="14"/>
      <c r="J8" s="25"/>
      <c r="K8" s="25"/>
      <c r="L8" s="25"/>
      <c r="M8" s="25"/>
      <c r="N8" s="20" t="str">
        <f aca="false">IF(D8="","",0.75*D8+0.25*E8)</f>
        <v/>
      </c>
      <c r="O8" s="20" t="str">
        <f aca="false">IF(J8="","",K8-J8)</f>
        <v/>
      </c>
      <c r="P8" s="24" t="str">
        <f aca="false">IF(SUM(F8:I8)=0,"",(G8+I8)/SUM(F8:I8))</f>
        <v/>
      </c>
    </row>
    <row r="9" customFormat="false" ht="15" hidden="false" customHeight="false" outlineLevel="0" collapsed="false">
      <c r="A9" s="15"/>
      <c r="B9" s="14"/>
      <c r="C9" s="25"/>
      <c r="D9" s="25"/>
      <c r="E9" s="25"/>
      <c r="F9" s="14"/>
      <c r="G9" s="14"/>
      <c r="H9" s="14"/>
      <c r="I9" s="14"/>
      <c r="J9" s="25"/>
      <c r="K9" s="25"/>
      <c r="L9" s="25"/>
      <c r="M9" s="25"/>
      <c r="N9" s="20" t="str">
        <f aca="false">IF(D9="","",0.75*D9+0.25*E9)</f>
        <v/>
      </c>
      <c r="O9" s="20" t="str">
        <f aca="false">IF(J9="","",K9-J9)</f>
        <v/>
      </c>
      <c r="P9" s="24" t="str">
        <f aca="false">IF(SUM(F9:I9)=0,"",(G9+I9)/SUM(F9:I9))</f>
        <v/>
      </c>
    </row>
    <row r="10" customFormat="false" ht="15" hidden="false" customHeight="false" outlineLevel="0" collapsed="false">
      <c r="A10" s="15"/>
      <c r="B10" s="14"/>
      <c r="C10" s="25"/>
      <c r="D10" s="25"/>
      <c r="E10" s="25"/>
      <c r="F10" s="14"/>
      <c r="G10" s="14"/>
      <c r="H10" s="14"/>
      <c r="I10" s="14"/>
      <c r="J10" s="25"/>
      <c r="K10" s="25"/>
      <c r="L10" s="25"/>
      <c r="M10" s="25"/>
      <c r="N10" s="20" t="str">
        <f aca="false">IF(D10="","",0.75*D10+0.25*E10)</f>
        <v/>
      </c>
      <c r="O10" s="20" t="str">
        <f aca="false">IF(J10="","",K10-J10)</f>
        <v/>
      </c>
      <c r="P10" s="24" t="str">
        <f aca="false">IF(SUM(F10:I10)=0,"",(G10+I10)/SUM(F10:I10))</f>
        <v/>
      </c>
    </row>
    <row r="11" customFormat="false" ht="15" hidden="false" customHeight="false" outlineLevel="0" collapsed="false">
      <c r="A11" s="15"/>
      <c r="B11" s="14"/>
      <c r="C11" s="25"/>
      <c r="D11" s="25"/>
      <c r="E11" s="25"/>
      <c r="F11" s="14"/>
      <c r="G11" s="14"/>
      <c r="H11" s="14"/>
      <c r="I11" s="14"/>
      <c r="J11" s="25"/>
      <c r="K11" s="25"/>
      <c r="L11" s="25"/>
      <c r="M11" s="25"/>
      <c r="N11" s="20" t="str">
        <f aca="false">IF(D11="","",0.75*D11+0.25*E11)</f>
        <v/>
      </c>
      <c r="O11" s="20" t="str">
        <f aca="false">IF(J11="","",K11-J11)</f>
        <v/>
      </c>
      <c r="P11" s="24" t="str">
        <f aca="false">IF(SUM(F11:I11)=0,"",(G11+I11)/SUM(F11:I11))</f>
        <v/>
      </c>
    </row>
    <row r="12" customFormat="false" ht="15" hidden="false" customHeight="false" outlineLevel="0" collapsed="false">
      <c r="A12" s="15"/>
      <c r="B12" s="14"/>
      <c r="C12" s="25"/>
      <c r="D12" s="25"/>
      <c r="E12" s="25"/>
      <c r="F12" s="14"/>
      <c r="G12" s="14"/>
      <c r="H12" s="14"/>
      <c r="I12" s="14"/>
      <c r="J12" s="25"/>
      <c r="K12" s="25"/>
      <c r="L12" s="25"/>
      <c r="M12" s="25"/>
      <c r="N12" s="20" t="str">
        <f aca="false">IF(D12="","",0.75*D12+0.25*E12)</f>
        <v/>
      </c>
      <c r="O12" s="20" t="str">
        <f aca="false">IF(J12="","",K12-J12)</f>
        <v/>
      </c>
      <c r="P12" s="24" t="str">
        <f aca="false">IF(SUM(F12:I12)=0,"",(G12+I12)/SUM(F12:I12))</f>
        <v/>
      </c>
    </row>
    <row r="13" customFormat="false" ht="15" hidden="false" customHeight="false" outlineLevel="0" collapsed="false">
      <c r="A13" s="15"/>
      <c r="B13" s="14"/>
      <c r="C13" s="25"/>
      <c r="D13" s="25"/>
      <c r="E13" s="25"/>
      <c r="F13" s="14"/>
      <c r="G13" s="14"/>
      <c r="H13" s="14"/>
      <c r="I13" s="14"/>
      <c r="J13" s="25"/>
      <c r="K13" s="25"/>
      <c r="L13" s="25"/>
      <c r="M13" s="25"/>
      <c r="N13" s="20" t="str">
        <f aca="false">IF(D13="","",0.75*D13+0.25*E13)</f>
        <v/>
      </c>
      <c r="O13" s="20" t="str">
        <f aca="false">IF(J13="","",K13-J13)</f>
        <v/>
      </c>
      <c r="P13" s="24" t="str">
        <f aca="false">IF(SUM(F13:I13)=0,"",(G13+I13)/SUM(F13:I13))</f>
        <v/>
      </c>
    </row>
    <row r="14" customFormat="false" ht="15" hidden="false" customHeight="false" outlineLevel="0" collapsed="false">
      <c r="A14" s="15"/>
      <c r="B14" s="14"/>
      <c r="C14" s="25"/>
      <c r="D14" s="25"/>
      <c r="E14" s="25"/>
      <c r="F14" s="14"/>
      <c r="G14" s="14"/>
      <c r="H14" s="14"/>
      <c r="I14" s="14"/>
      <c r="J14" s="25"/>
      <c r="K14" s="25"/>
      <c r="L14" s="25"/>
      <c r="M14" s="25"/>
      <c r="N14" s="20" t="str">
        <f aca="false">IF(D14="","",0.75*D14+0.25*E14)</f>
        <v/>
      </c>
      <c r="O14" s="20" t="str">
        <f aca="false">IF(J14="","",K14-J14)</f>
        <v/>
      </c>
      <c r="P14" s="24" t="str">
        <f aca="false">IF(SUM(F14:I14)=0,"",(G14+I14)/SUM(F14:I14))</f>
        <v/>
      </c>
    </row>
    <row r="15" customFormat="false" ht="15" hidden="false" customHeight="false" outlineLevel="0" collapsed="false">
      <c r="A15" s="5" t="s">
        <v>308</v>
      </c>
      <c r="B15" s="5" t="n">
        <f aca="false">SUM(B5:B14)</f>
        <v>40</v>
      </c>
      <c r="D15" s="26" t="n">
        <f aca="false">IFERROR(AVERAGE(D5:D14),"")</f>
        <v>0.04</v>
      </c>
      <c r="E15" s="26" t="n">
        <f aca="false">IFERROR(AVERAGE(E5:E14),"")</f>
        <v>0.06</v>
      </c>
      <c r="J15" s="26" t="n">
        <f aca="false">IFERROR(AVERAGE(J5:J14),"")</f>
        <v>0.935</v>
      </c>
      <c r="K15" s="26" t="n">
        <f aca="false">IFERROR(AVERAGE(K5:K14),"")</f>
        <v>0.97</v>
      </c>
      <c r="N15" s="26" t="n">
        <f aca="false">IFERROR(AVERAGE(N5:N14),"")</f>
        <v>0.045</v>
      </c>
    </row>
    <row r="17" customFormat="false" ht="15" hidden="false" customHeight="false" outlineLevel="0" collapsed="false">
      <c r="A17" s="17" t="s">
        <v>309</v>
      </c>
    </row>
  </sheetData>
  <conditionalFormatting sqref="O5:O14">
    <cfRule type="expression" priority="2" aboveAverage="0" equalAverage="0" bottom="0" percent="0" rank="0" text="" dxfId="2">
      <formula>AND(ISNUMBER(O5),O5&gt;0.03)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310</v>
      </c>
    </row>
    <row r="4" customFormat="false" ht="15" hidden="false" customHeight="false" outlineLevel="0" collapsed="false">
      <c r="A4" s="11" t="s">
        <v>311</v>
      </c>
      <c r="B4" s="11" t="s">
        <v>312</v>
      </c>
      <c r="C4" s="11" t="s">
        <v>313</v>
      </c>
      <c r="D4" s="11" t="s">
        <v>314</v>
      </c>
      <c r="E4" s="11" t="s">
        <v>315</v>
      </c>
    </row>
    <row r="5" customFormat="false" ht="15" hidden="false" customHeight="false" outlineLevel="0" collapsed="false">
      <c r="A5" s="12" t="n">
        <v>1</v>
      </c>
      <c r="B5" s="13" t="s">
        <v>316</v>
      </c>
      <c r="C5" s="12" t="s">
        <v>33</v>
      </c>
      <c r="D5" s="13" t="s">
        <v>317</v>
      </c>
      <c r="E5" s="14" t="s">
        <v>318</v>
      </c>
    </row>
    <row r="6" customFormat="false" ht="15" hidden="false" customHeight="false" outlineLevel="0" collapsed="false">
      <c r="A6" s="12" t="n">
        <v>2</v>
      </c>
      <c r="B6" s="13" t="s">
        <v>319</v>
      </c>
      <c r="C6" s="12" t="s">
        <v>33</v>
      </c>
      <c r="D6" s="13" t="s">
        <v>320</v>
      </c>
      <c r="E6" s="14" t="s">
        <v>318</v>
      </c>
    </row>
    <row r="7" customFormat="false" ht="15" hidden="false" customHeight="false" outlineLevel="0" collapsed="false">
      <c r="A7" s="12" t="n">
        <v>3</v>
      </c>
      <c r="B7" s="13" t="s">
        <v>321</v>
      </c>
      <c r="C7" s="12" t="s">
        <v>33</v>
      </c>
      <c r="D7" s="13" t="s">
        <v>322</v>
      </c>
      <c r="E7" s="14" t="s">
        <v>318</v>
      </c>
    </row>
    <row r="8" customFormat="false" ht="15" hidden="false" customHeight="false" outlineLevel="0" collapsed="false">
      <c r="A8" s="12" t="n">
        <v>4</v>
      </c>
      <c r="B8" s="13" t="s">
        <v>323</v>
      </c>
      <c r="C8" s="12" t="s">
        <v>324</v>
      </c>
      <c r="D8" s="13" t="s">
        <v>325</v>
      </c>
      <c r="E8" s="14" t="s">
        <v>318</v>
      </c>
    </row>
    <row r="9" customFormat="false" ht="15" hidden="false" customHeight="false" outlineLevel="0" collapsed="false">
      <c r="A9" s="12" t="n">
        <v>5</v>
      </c>
      <c r="B9" s="13" t="s">
        <v>326</v>
      </c>
      <c r="C9" s="12" t="s">
        <v>327</v>
      </c>
      <c r="D9" s="13" t="s">
        <v>328</v>
      </c>
      <c r="E9" s="14" t="s">
        <v>318</v>
      </c>
    </row>
    <row r="10" customFormat="false" ht="15" hidden="false" customHeight="false" outlineLevel="0" collapsed="false">
      <c r="A10" s="12" t="n">
        <v>6</v>
      </c>
      <c r="B10" s="13" t="s">
        <v>329</v>
      </c>
      <c r="C10" s="12" t="s">
        <v>327</v>
      </c>
      <c r="D10" s="13" t="s">
        <v>330</v>
      </c>
      <c r="E10" s="14" t="s">
        <v>318</v>
      </c>
    </row>
    <row r="11" customFormat="false" ht="15" hidden="false" customHeight="false" outlineLevel="0" collapsed="false">
      <c r="A11" s="12" t="n">
        <v>7</v>
      </c>
      <c r="B11" s="13" t="s">
        <v>331</v>
      </c>
      <c r="C11" s="12" t="s">
        <v>332</v>
      </c>
      <c r="D11" s="13" t="s">
        <v>333</v>
      </c>
      <c r="E11" s="14" t="s">
        <v>318</v>
      </c>
    </row>
    <row r="12" customFormat="false" ht="15" hidden="false" customHeight="false" outlineLevel="0" collapsed="false">
      <c r="A12" s="12" t="n">
        <v>8</v>
      </c>
      <c r="B12" s="13" t="s">
        <v>334</v>
      </c>
      <c r="C12" s="12" t="s">
        <v>335</v>
      </c>
      <c r="D12" s="13" t="s">
        <v>336</v>
      </c>
      <c r="E12" s="14" t="s">
        <v>318</v>
      </c>
    </row>
    <row r="13" customFormat="false" ht="23.85" hidden="false" customHeight="false" outlineLevel="0" collapsed="false">
      <c r="A13" s="12" t="n">
        <v>9</v>
      </c>
      <c r="B13" s="13" t="s">
        <v>337</v>
      </c>
      <c r="C13" s="12" t="s">
        <v>338</v>
      </c>
      <c r="D13" s="13" t="s">
        <v>339</v>
      </c>
      <c r="E13" s="14" t="s">
        <v>318</v>
      </c>
    </row>
    <row r="14" customFormat="false" ht="15" hidden="false" customHeight="false" outlineLevel="0" collapsed="false">
      <c r="A14" s="12" t="n">
        <v>10</v>
      </c>
      <c r="B14" s="13" t="s">
        <v>340</v>
      </c>
      <c r="C14" s="12" t="s">
        <v>341</v>
      </c>
      <c r="D14" s="13" t="s">
        <v>342</v>
      </c>
      <c r="E14" s="14" t="s">
        <v>318</v>
      </c>
    </row>
    <row r="15" customFormat="false" ht="23.85" hidden="false" customHeight="false" outlineLevel="0" collapsed="false">
      <c r="A15" s="12" t="n">
        <v>11</v>
      </c>
      <c r="B15" s="13" t="s">
        <v>343</v>
      </c>
      <c r="C15" s="12" t="s">
        <v>344</v>
      </c>
      <c r="D15" s="13" t="s">
        <v>345</v>
      </c>
      <c r="E15" s="14" t="s">
        <v>318</v>
      </c>
    </row>
    <row r="16" customFormat="false" ht="15" hidden="false" customHeight="false" outlineLevel="0" collapsed="false">
      <c r="A16" s="12" t="n">
        <v>12</v>
      </c>
      <c r="B16" s="13" t="s">
        <v>346</v>
      </c>
      <c r="C16" s="12" t="s">
        <v>347</v>
      </c>
      <c r="D16" s="13" t="s">
        <v>348</v>
      </c>
      <c r="E16" s="14" t="s">
        <v>318</v>
      </c>
    </row>
    <row r="17" customFormat="false" ht="15" hidden="false" customHeight="false" outlineLevel="0" collapsed="false">
      <c r="A17" s="12" t="n">
        <v>13</v>
      </c>
      <c r="B17" s="13" t="s">
        <v>349</v>
      </c>
      <c r="C17" s="12" t="s">
        <v>350</v>
      </c>
      <c r="D17" s="13" t="s">
        <v>351</v>
      </c>
      <c r="E17" s="14" t="s">
        <v>318</v>
      </c>
    </row>
    <row r="18" customFormat="false" ht="15" hidden="false" customHeight="false" outlineLevel="0" collapsed="false">
      <c r="A18" s="12" t="n">
        <v>14</v>
      </c>
      <c r="B18" s="13" t="s">
        <v>352</v>
      </c>
      <c r="C18" s="12" t="s">
        <v>335</v>
      </c>
      <c r="D18" s="13" t="s">
        <v>353</v>
      </c>
      <c r="E18" s="14" t="s">
        <v>318</v>
      </c>
    </row>
  </sheetData>
  <dataValidations count="1">
    <dataValidation allowBlank="true" errorStyle="stop" operator="between" showDropDown="false" showErrorMessage="false" showInputMessage="false" sqref="E5:E18" type="list">
      <formula1>"Chưa,Rồi"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2026-09-25T02:29:51Z</dcterms:created>
  <dc:creator>openpyxl</dc:creator>
  <dc:description/>
  <dc:language>en-US</dc:language>
  <cp:lastModifiedBy/>
  <dcterms:modified xsi:type="dcterms:W3CDTF">2026-09-25T02:29:51Z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